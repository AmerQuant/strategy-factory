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خلاصه" sheetId="2" state="visible" r:id="rId4"/>
    <sheet name="فیچرلیست" sheetId="3" state="visible" r:id="rId5"/>
  </sheets>
  <definedNames>
    <definedName function="false" hidden="true" localSheetId="2" name="_xlnm._FilterDatabase" vbProcedure="false">فیچرلیست!$A$1:$K$129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<sst xmlns="http://schemas.openxmlformats.org/spreadsheetml/2006/main" count="1329" uniqueCount="639">
  <si>
    <t xml:space="preserve">فیچرلیست فریم‌ورک استاندارد تولید استراتژی — نسخهٔ ۱٫۱ (فاز ۳)</t>
  </si>
  <si>
    <t xml:space="preserve">ستون</t>
  </si>
  <si>
    <t xml:space="preserve">توضیح</t>
  </si>
  <si>
    <t xml:space="preserve">شناسه</t>
  </si>
  <si>
    <t xml:space="preserve">F-&lt;مرحله&gt;.&lt;بلوک&gt;.&lt;شماره&gt;؛ مبنای تسک‌های Claude Code و ارجاع در کد و تست‌ها. شناسه‌ها هرگز تغییر نمی‌کنند؛ فیچر حذف‌شده وضعیت «لغو» می‌گیرد.</t>
  </si>
  <si>
    <t xml:space="preserve">مرحله / ماژول</t>
  </si>
  <si>
    <t xml:space="preserve">مرحلهٔ سند مشخصات (نسخهٔ ۱٫۲) و ماژول نرم‌افزاری پیشنهادی.</t>
  </si>
  <si>
    <t xml:space="preserve">معیار پذیرش</t>
  </si>
  <si>
    <t xml:space="preserve">شرط «انجام‌شده» بودن؛ باید با تست خودکار یا بررسی مشخص قابل راستی‌آزمایی باشد.</t>
  </si>
  <si>
    <t xml:space="preserve">اولویت MVP</t>
  </si>
  <si>
    <t xml:space="preserve">لازم برای اولین اجرای کامل قیف: مرحلهٔ ۰ + مراحل ۱ تا ۳ + گزارش HTML + خودآزمایی اولیه.</t>
  </si>
  <si>
    <t xml:space="preserve">اولویت P1</t>
  </si>
  <si>
    <t xml:space="preserve">لازم برای قیف کامل تا تأیید تحلیلگر (مراحل ۱-S و ۴ تا ۹ و کالیبراسیون).</t>
  </si>
  <si>
    <t xml:space="preserve">اولویت P2</t>
  </si>
  <si>
    <t xml:space="preserve">پورتفو، سایزینگ، چرخهٔ عمر و بهبودها.</t>
  </si>
  <si>
    <t xml:space="preserve">تسک</t>
  </si>
  <si>
    <t xml:space="preserve">شمارهٔ تسک Claude Code طبق سند طراحی بخش ۱۳ (T00 تا T15 برای MVP).</t>
  </si>
  <si>
    <t xml:space="preserve">وابستگی‌ها</t>
  </si>
  <si>
    <t xml:space="preserve">فیچرهایی که باید پیش از این فیچر تحویل شوند.</t>
  </si>
  <si>
    <t xml:space="preserve">وضعیت</t>
  </si>
  <si>
    <t xml:space="preserve">برنامه‌ریزی‌شده / در حال انجام / بازبینی / پذیرفته‌شده / لغو — از فهرست کشویی انتخاب شود.</t>
  </si>
  <si>
    <t xml:space="preserve">ستون‌های قابل ویرایش</t>
  </si>
  <si>
    <t xml:space="preserve">وضعیت و یادداشت (زرد). بقیهٔ ستون‌ها فقط با توافق در چت تغییر می‌کنند.</t>
  </si>
  <si>
    <t xml:space="preserve">منبع</t>
  </si>
  <si>
    <t xml:space="preserve">همهٔ مقادیر و آستانه‌ها از سند مشخصات نسخهٔ ۱٫۲ و تصمیمات فاز ۱ است.</t>
  </si>
  <si>
    <t xml:space="preserve">مرحله</t>
  </si>
  <si>
    <t xml:space="preserve">MVP</t>
  </si>
  <si>
    <t xml:space="preserve">P1</t>
  </si>
  <si>
    <t xml:space="preserve">P2</t>
  </si>
  <si>
    <t xml:space="preserve">کل</t>
  </si>
  <si>
    <t xml:space="preserve">پذیرفته‌شده</t>
  </si>
  <si>
    <t xml:space="preserve">درصد پیشرفت</t>
  </si>
  <si>
    <t xml:space="preserve">۰ زیرساخت</t>
  </si>
  <si>
    <t xml:space="preserve">۱ کشف اج</t>
  </si>
  <si>
    <t xml:space="preserve">۱-S سیزنال</t>
  </si>
  <si>
    <t xml:space="preserve">۲ غربال متد</t>
  </si>
  <si>
    <t xml:space="preserve">۳ بهینه‌سازی ورود</t>
  </si>
  <si>
    <t xml:space="preserve">۴ خروج</t>
  </si>
  <si>
    <t xml:space="preserve">۵ تشخیص و فیلتر</t>
  </si>
  <si>
    <t xml:space="preserve">۶ روباستنس</t>
  </si>
  <si>
    <t xml:space="preserve">۷ آماری</t>
  </si>
  <si>
    <t xml:space="preserve">۸ گزارش LLM</t>
  </si>
  <si>
    <t xml:space="preserve">۹ تحلیلگر</t>
  </si>
  <si>
    <t xml:space="preserve">۱۰ پورتفو</t>
  </si>
  <si>
    <t xml:space="preserve">۱۱ سایزینگ</t>
  </si>
  <si>
    <t xml:space="preserve">۱۲ چرخهٔ عمر</t>
  </si>
  <si>
    <t xml:space="preserve">مشترک</t>
  </si>
  <si>
    <t xml:space="preserve">جمع کل</t>
  </si>
  <si>
    <t xml:space="preserve">ماژول</t>
  </si>
  <si>
    <t xml:space="preserve">عنوان</t>
  </si>
  <si>
    <t xml:space="preserve">شرح</t>
  </si>
  <si>
    <t xml:space="preserve">اولویت</t>
  </si>
  <si>
    <t xml:space="preserve">یادداشت</t>
  </si>
  <si>
    <t xml:space="preserve">F-0.1.1</t>
  </si>
  <si>
    <t xml:space="preserve">data</t>
  </si>
  <si>
    <t xml:space="preserve">فرمت استاندارد و رابط آداپتور</t>
  </si>
  <si>
    <t xml:space="preserve">تعریف اسکیما واحد: ts (شروع بار، UTC)، open/high/low/close/volume و ستون‌های اختیاری vwap، trades، spread؛ به‌همراه متادیتای سری: منبع، نماد منبع، نماد استاندارد، کلاس دارایی، تایم‌فریم، نوع قیمت، تعدیل، سشن، فید، منطقهٔ زمانی اصلی، تاریخ دانلود.</t>
  </si>
  <si>
    <t xml:space="preserve">هر آداپتور خروجی معتبر طبق اسکیما می‌دهد؛ اعتبارسنج اسکیما روی ستون یا متادیتای ناقص خطا می‌دهد؛ تست واحد برای هر فیلد.</t>
  </si>
  <si>
    <t xml:space="preserve">T02</t>
  </si>
  <si>
    <t xml:space="preserve">برنامه‌ریزی‌شده</t>
  </si>
  <si>
    <t xml:space="preserve">F-0.1.2</t>
  </si>
  <si>
    <t xml:space="preserve">آداپتور Alpaca</t>
  </si>
  <si>
    <t xml:space="preserve">خواندن فایل‌های Alpaca (سهام آمریکا)، تبدیل به UTC، فیلتر سشن رسمی (RTH) با گزینهٔ نگه‌داشتن ETH، ثبت فید (IEX/SIP) و نوع تعدیل در متادیتا.</t>
  </si>
  <si>
    <t xml:space="preserve">روی نمونهٔ واقعی فایل‌ها بدون خطا اجرا می‌شود؛ بارهای خارج از سشن رسمی در حالت RTH حذف می‌شوند؛ فید و تعدیل در متادیتا ثبت است. (جزئیات فرمت پس از دریافت نمونه‌فایل)</t>
  </si>
  <si>
    <t xml:space="preserve">T04</t>
  </si>
  <si>
    <t xml:space="preserve">F-0.1.3</t>
  </si>
  <si>
    <t xml:space="preserve">آداپتور Dukascopy</t>
  </si>
  <si>
    <t xml:space="preserve">خواندن CSV با تایم‌استمپ میلی‌ثانیه‌ای، اصلاح آفست UTC، تبدیل واحد حجم، ادغام سری bid و ask و ساخت mid و spread.</t>
  </si>
  <si>
    <t xml:space="preserve">سری bid و ask روی تایم‌استمپ یکسان هم‌تراز می‌شوند؛ spread = ask − bid همیشه نامنفی؛ آفست UTC هنگام دانلود از کانفیگ خوانده و اصلاح می‌شود.</t>
  </si>
  <si>
    <t xml:space="preserve">F-0.1.4</t>
  </si>
  <si>
    <t xml:space="preserve">آداپتور Yahoo</t>
  </si>
  <si>
    <t xml:space="preserve">خواندن دادهٔ روزانه و سری‌های کمکی (VIX، شاخص‌ها)، ثبت وضعیت auto_adjust و منطقهٔ زمانی.</t>
  </si>
  <si>
    <t xml:space="preserve">دادهٔ روزانه با تاریخ درست و متادیتای تعدیل ثبت می‌شود؛ سری کمکی قابل استفاده در F-0.1.11 است.</t>
  </si>
  <si>
    <t xml:space="preserve">—</t>
  </si>
  <si>
    <t xml:space="preserve">F-0.1.5</t>
  </si>
  <si>
    <t xml:space="preserve">آداپتور خروجی TradingView</t>
  </si>
  <si>
    <t xml:space="preserve">خواندن OHLC و فهرست تریدهای خروجی TradingView برای تست تطابق.</t>
  </si>
  <si>
    <t xml:space="preserve">فهرست تریدها (زمان و قیمت ورود و خروج، جهت، سود) به ساختار استاندارد ترید تبدیل می‌شود.</t>
  </si>
  <si>
    <t xml:space="preserve">F-0.1.6</t>
  </si>
  <si>
    <t xml:space="preserve">بررسی کیفیت داده و گزارش</t>
  </si>
  <si>
    <t xml:space="preserve">تشخیص کندل گمشده، تکراری، جهش قیمت غیرعادی، High کمتر از Low، حجم صفر، ناپیوستگی DST؛ سطح‌بندی شدت (بحرانی/هشدار/اطلاع).</t>
  </si>
  <si>
    <t xml:space="preserve">روی دادهٔ آلوده‌شدهٔ ساختگی همهٔ انواع خطا کشف می‌شوند؛ گزارش کیفیت برای هر نماد تولید می‌شود؛ خطای بحرانی اجرای قیف را متوقف می‌کند.</t>
  </si>
  <si>
    <t xml:space="preserve">T05</t>
  </si>
  <si>
    <t xml:space="preserve">F-0.1.7</t>
  </si>
  <si>
    <t xml:space="preserve">بازنمونه‌گیری و مرز روز</t>
  </si>
  <si>
    <t xml:space="preserve">ساخت تایم‌فریم‌های بالاتر از پایین‌تر؛ مرز روز ۰۰:۰۰ UTC؛ ادغام ساعات یکشنبهٔ فارکس و طلا در دوشنبه؛ حالت «مرز سشن بروکر» برای تست تطابق.</t>
  </si>
  <si>
    <t xml:space="preserve">مجموع حجم و OHLC بازنمونه‌شده با محاسبهٔ دستی برابر است؛ هیچ کندل روزانهٔ یکشنبه در فارکس و طلا وجود ندارد؛ حالت بروکر با کندل‌های TradingView منطبق است.</t>
  </si>
  <si>
    <t xml:space="preserve">F-0.1.8</t>
  </si>
  <si>
    <t xml:space="preserve">ذخیره‌سازی و نسخه‌بندی داده</t>
  </si>
  <si>
    <t xml:space="preserve">ذخیرهٔ اسنپ‌شات‌های تغییرناپذیر با شناسه و هش؛ هر نتیجه به نسخهٔ داده ارجاع می‌دهد.</t>
  </si>
  <si>
    <t xml:space="preserve">بازنویسی یک اسنپ‌شات موجود ممکن نیست؛ تغییر یک مقدار، هش جدید می‌سازد.</t>
  </si>
  <si>
    <t xml:space="preserve">F-0.1.9</t>
  </si>
  <si>
    <t xml:space="preserve">کنترل تعدیل سهام</t>
  </si>
  <si>
    <t xml:space="preserve">بررسی سازگاری تعدیل اسپلیت و سود تقسیمی بین منابع و در طول زمان.</t>
  </si>
  <si>
    <t xml:space="preserve">جهش‌های ناشی از اسپلیت تعدیل‌نشده تشخیص و گزارش می‌شوند.</t>
  </si>
  <si>
    <t xml:space="preserve">F-0.1.10</t>
  </si>
  <si>
    <t xml:space="preserve">رول‌اور قراردادهای آتی</t>
  </si>
  <si>
    <t xml:space="preserve">ساخت سری پیوسته برای قراردادهای آتی (در صورت اضافه شدن این کلاس دارایی).</t>
  </si>
  <si>
    <t xml:space="preserve">سری پیوسته بدون گپ مصنوعی رول‌اور ساخته می‌شود.</t>
  </si>
  <si>
    <t xml:space="preserve">F-0.1.11</t>
  </si>
  <si>
    <t xml:space="preserve">هم‌ترازی سری‌های کمکی</t>
  </si>
  <si>
    <t xml:space="preserve">اتصال سری‌های کمکی (VIX، شاخص مرجع) به نماد به‌صورت as-of با تأخیر، طوری که فقط مقدار بسته‌شدهٔ قبلی در دسترس باشد.</t>
  </si>
  <si>
    <t xml:space="preserve">تست نشت: هیچ کندلی به مقدار سری کمکی هم‌زمان یا آینده دسترسی ندارد.</t>
  </si>
  <si>
    <t xml:space="preserve">F-0.1.12</t>
  </si>
  <si>
    <t xml:space="preserve">فهرست دارایی داده (Data inventory)</t>
  </si>
  <si>
    <t xml:space="preserve">بررسی فقط‌خواندنی پوشه‌های دادهٔ موجود: منبع، کلاس دارایی، نمادها، تایم‌فریم، بازه، فرمت، ستون‌ها، منطقهٔ زمانی، نوع قیمت، نشانه‌های تعدیل و سشن؛ خروجی docs/data_inventory.md و json.</t>
  </si>
  <si>
    <t xml:space="preserve">همهٔ گروه‌های فایل با نمونهٔ سطرها و شواهد مستند شده‌اند؛ هیچ فایلی تغییر نکرده؛ فهرست پرسش‌های باز برای کاربر.</t>
  </si>
  <si>
    <t xml:space="preserve">T00</t>
  </si>
  <si>
    <t xml:space="preserve">F-0.2.1</t>
  </si>
  <si>
    <t xml:space="preserve">costs</t>
  </si>
  <si>
    <t xml:space="preserve">اسکیما پروفایل هزینه</t>
  </si>
  <si>
    <t xml:space="preserve">پروفایل برای هر نماد و بروکر: اسپرد، مدل کمیسیون (درصدی/سهمی/لاتی)، سواپ لانگ و شورت، روز سه‌برابر، مدل اسلیپیج (ثابت + کسری از ATR).</t>
  </si>
  <si>
    <t xml:space="preserve">پروفایل از کانفیگ خوانده و اعتبارسنجی می‌شود؛ نبود پروفایل برای یک نماد خطا می‌دهد (هزینه اختیاری نیست).</t>
  </si>
  <si>
    <t xml:space="preserve">T06</t>
  </si>
  <si>
    <t xml:space="preserve">F-0.2.2</t>
  </si>
  <si>
    <t xml:space="preserve">پروفایل ساعتی اسپرد</t>
  </si>
  <si>
    <t xml:space="preserve">ساخت اسپرد به تفکیک ساعت روز از bid و ask دیوکاسکپی و مقیاس‌دهی با اسپرد میانگین بروکر اجرا.</t>
  </si>
  <si>
    <t xml:space="preserve">پروفایل ۲۴ ساعته برای هر نماد تولید می‌شود؛ میانگین وزنی پس از مقیاس‌دهی برابر اسپرد بروکر است.</t>
  </si>
  <si>
    <t xml:space="preserve">F-0.1.3, F-0.2.1</t>
  </si>
  <si>
    <t xml:space="preserve">F-0.2.3</t>
  </si>
  <si>
    <t xml:space="preserve">محاسبهٔ سواپ</t>
  </si>
  <si>
    <t xml:space="preserve">اعمال سواپ روزانه برای پوزیشن‌های شبانه با روز سه‌برابر مطابق پروفایل.</t>
  </si>
  <si>
    <t xml:space="preserve">روی سناریوی ساختگی، سواپ محاسبه‌شده با محاسبهٔ دستی برابر است.</t>
  </si>
  <si>
    <t xml:space="preserve">F-0.2.4</t>
  </si>
  <si>
    <t xml:space="preserve">ضرایب استرس هزینه</t>
  </si>
  <si>
    <t xml:space="preserve">اجرای دوباره با ضرایب ۱٫۵، ۲ و ۳ روی اسپرد و اسلیپیج.</t>
  </si>
  <si>
    <t xml:space="preserve">نتایج استرس در کنار نتیجهٔ عادی ذخیره می‌شوند؛ سود با افزایش ضریب به‌طور یکنوا کاهش می‌یابد.</t>
  </si>
  <si>
    <t xml:space="preserve">F-0.3.1</t>
  </si>
  <si>
    <t xml:space="preserve">engine</t>
  </si>
  <si>
    <t xml:space="preserve">هستهٔ موتور بک‌تست</t>
  </si>
  <si>
    <t xml:space="preserve">سیگنال روی کلوز، اجرا در اوپن کندل بعد؛ لانگ و شورت جدا؛ سرمایهٔ ۱۰۰ هزار و حجم ثابت ۱۰۰ هزار دلار؛ اکوئیتی Mark-to-Market روی کلوز هر کندل؛ خروجی فهرست ترید و منحنی اکوئیتی.</t>
  </si>
  <si>
    <t xml:space="preserve">روی استراتژی‌های ساختگی با نتیجهٔ معلوم، تریدها و اکوئیتی دقیقاً با محاسبهٔ دستی برابرند.</t>
  </si>
  <si>
    <t xml:space="preserve">T08</t>
  </si>
  <si>
    <t xml:space="preserve">F-0.1.1, F-0.2.1</t>
  </si>
  <si>
    <t xml:space="preserve">F-0.3.2</t>
  </si>
  <si>
    <t xml:space="preserve">خروج‌های پایه</t>
  </si>
  <si>
    <t xml:space="preserve">خروج زمانی (N کندل)، خروج سیگنالی، استاپ فاجعهٔ ثابت ۳ATR، ترکیب «اولین رخداد».</t>
  </si>
  <si>
    <t xml:space="preserve">هر نوع خروج در تست واحد با سناریوی معلوم در کندل درست و با قیمت درست بسته می‌شود.</t>
  </si>
  <si>
    <t xml:space="preserve">F-0.3.3</t>
  </si>
  <si>
    <t xml:space="preserve">خروج‌های پیشرفته</t>
  </si>
  <si>
    <t xml:space="preserve">TP و SL بر حسب ATR، تریلینگ ATR، شاندلیه، بریک‌ایون.</t>
  </si>
  <si>
    <t xml:space="preserve">مانند F-0.3.2 برای هر نوع خروج.</t>
  </si>
  <si>
    <t xml:space="preserve">F-0.3.4</t>
  </si>
  <si>
    <t xml:space="preserve">ابهام درون‌کندلی: حالت تطابق و بدبینانه</t>
  </si>
  <si>
    <t xml:space="preserve">حالت «تطابق» با منطق TradingView و حالت «تحقیق» با فرض بدبینانه (حد ضرر اول).</t>
  </si>
  <si>
    <t xml:space="preserve">در کندلی که SL و TP هر دو لمس شده‌اند، هر حالت نتیجهٔ مورد انتظار خود را می‌دهد.</t>
  </si>
  <si>
    <t xml:space="preserve">F-0.3.5</t>
  </si>
  <si>
    <t xml:space="preserve">ابهام درون‌کندلی: حل با دادهٔ دقیقه‌ای</t>
  </si>
  <si>
    <t xml:space="preserve">در حالت تحقیق، اگر دادهٔ دقیقه‌ای موجود است، ترتیب واقعی لمس SL/TP از آن تعیین شود.</t>
  </si>
  <si>
    <t xml:space="preserve">روی نمونهٔ واقعی، ترتیب با بررسی دستی دادهٔ دقیقه‌ای منطبق است.</t>
  </si>
  <si>
    <t xml:space="preserve">F-0.3.6</t>
  </si>
  <si>
    <t xml:space="preserve">چند استراتژی هم‌زمان روی یک نماد</t>
  </si>
  <si>
    <t xml:space="preserve">اجرای موازی چند استراتژی مستقل روی یک نماد با اکوئیتی ترکیبی.</t>
  </si>
  <si>
    <t xml:space="preserve">اکوئیتی ترکیبی برابر مجموع اکوئیتی‌های مستقل است.</t>
  </si>
  <si>
    <t xml:space="preserve">F-0.3.7</t>
  </si>
  <si>
    <t xml:space="preserve">اجرای دسته‌ای و موازی</t>
  </si>
  <si>
    <t xml:space="preserve">اجرای گرید و شبیه‌سازی‌ها به‌صورت موازی با ثبت در رجیستری.</t>
  </si>
  <si>
    <t xml:space="preserve">نتیجهٔ اجرای موازی با اجرای ترتیبی یکسان است؛ مقیاس‌پذیری با تعداد هسته اندازه‌گیری و گزارش می‌شود.</t>
  </si>
  <si>
    <t xml:space="preserve">T10</t>
  </si>
  <si>
    <t xml:space="preserve">F-0.3.1, F-0.7.1</t>
  </si>
  <si>
    <t xml:space="preserve">F-0.3.8</t>
  </si>
  <si>
    <t xml:space="preserve">تست تطابق (Parity) با TradingView</t>
  </si>
  <si>
    <t xml:space="preserve">مقایسهٔ ترید به ترید با خروجی TradingView برای دو استراتژی مرجع (MR روزانهٔ SPX500 و TF یک‌ساعته).</t>
  </si>
  <si>
    <t xml:space="preserve">حداقل ۹۸٪ تریدها منطبق؛ اختلاف سود خالص حداکثر ۳٪؛ گزارش اختلاف‌ها با دلیل.</t>
  </si>
  <si>
    <t xml:space="preserve">T11</t>
  </si>
  <si>
    <t xml:space="preserve">F-0.1.5, F-0.3.4, F-0.1.7</t>
  </si>
  <si>
    <t xml:space="preserve">F-0.3.9</t>
  </si>
  <si>
    <t xml:space="preserve">تست‌های نشت اطلاعات (Look-ahead)</t>
  </si>
  <si>
    <t xml:space="preserve">مجموعه تست که بررسی می‌کند هیچ سیگنال یا اندیکاتوری از دادهٔ آینده استفاده نمی‌کند.</t>
  </si>
  <si>
    <t xml:space="preserve">تست «برش داده»: نتیجهٔ سیگنال تا کندل t با حذف داده‌های بعد از t تغییر نمی‌کند.</t>
  </si>
  <si>
    <t xml:space="preserve">F-0.3.1, F-0.4.2</t>
  </si>
  <si>
    <t xml:space="preserve">F-0.4.1</t>
  </si>
  <si>
    <t xml:space="preserve">components</t>
  </si>
  <si>
    <t xml:space="preserve">رابط اجزای استراتژی</t>
  </si>
  <si>
    <t xml:space="preserve">ورود، خروج، فیلتر و سایزینگ به‌صورت اجزای مستقل؛ هر جزء پارامترهایش را اعلام می‌کند (نام، بازه، ۴ مقدار گرید درشت، گام گرید ریز، پیش‌فرض).</t>
  </si>
  <si>
    <t xml:space="preserve">افزودن یک متد جدید فقط با ثبت یک کلاس/تابع جدید ممکن است، بدون تغییر کد مراحل.</t>
  </si>
  <si>
    <t xml:space="preserve">T07</t>
  </si>
  <si>
    <t xml:space="preserve">F-0.4.2</t>
  </si>
  <si>
    <t xml:space="preserve">کتابخانهٔ اندیکاتورها</t>
  </si>
  <si>
    <t xml:space="preserve">ATR، انواع MA، RSI، IBS، بولینجر، دانچین، سوپرترند، ایچیموکو، MACD، ROC، Z-Score و سایر موارد مورد نیاز مراحل ۱ و ۲.</t>
  </si>
  <si>
    <t xml:space="preserve">مقادیر هر اندیکاتور با مرجع (TradingView یا کتابخانهٔ مرجع) در تلورانس تعریف‌شده برابر است.</t>
  </si>
  <si>
    <t xml:space="preserve">F-0.4.3</t>
  </si>
  <si>
    <t xml:space="preserve">برچسب نوع اج و جهت</t>
  </si>
  <si>
    <t xml:space="preserve">هر متد برچسب MR/TF/سیزنال و جهت‌های مجاز دارد؛ نسخهٔ شورت آینهٔ لانگ است.</t>
  </si>
  <si>
    <t xml:space="preserve">مراحل فقط متدهای مرتبط با نوع اج را انتخاب می‌کنند؛ تست آینه برای شورت.</t>
  </si>
  <si>
    <t xml:space="preserve">F-0.5.1</t>
  </si>
  <si>
    <t xml:space="preserve">metrics</t>
  </si>
  <si>
    <t xml:space="preserve">متریک‌های استاندارد تیم</t>
  </si>
  <si>
    <t xml:space="preserve">میانگین سود سالانه (سال‌های ناقص کسری)، دراودان سالانه در دو نسخه (از اول سال — مبنا؛ و نسبت به قلهٔ کل)، نسبت سود به دراودان، اکسپوژر، بازده به ازای اکسپوژر، PF، وین‌ریت، امید ریاضی (دلار، درصد، ATR)، تعداد ترید، میانگین مدت نگهداری.</t>
  </si>
  <si>
    <t xml:space="preserve">روی اکوئیتی ساختگی با پاسخ معلوم، همهٔ متریک‌ها درست‌اند؛ دراودان نسبت به سرمایهٔ اولیه محاسبه می‌شود.</t>
  </si>
  <si>
    <t xml:space="preserve">T09</t>
  </si>
  <si>
    <t xml:space="preserve">F-0.5.2</t>
  </si>
  <si>
    <t xml:space="preserve">متریک‌های ریسک و توزیع</t>
  </si>
  <si>
    <t xml:space="preserve">شارپ و سورتینو روزانه، بیشینهٔ دراودان، Ulcer Index، زمان زیر آب، چولگی و کشیدگی بازده تریدها.</t>
  </si>
  <si>
    <t xml:space="preserve">مقادیر با پیاده‌سازی مرجع برابرند.</t>
  </si>
  <si>
    <t xml:space="preserve">F-0.5.3</t>
  </si>
  <si>
    <t xml:space="preserve">MAE، MFE و Edge Ratio</t>
  </si>
  <si>
    <t xml:space="preserve">محاسبهٔ حرکت نامطلوب و مطلوب هر ترید و Edge Ratio برای ۱ تا N کندل پس از ورود.</t>
  </si>
  <si>
    <t xml:space="preserve">روی تریدهای ساختگی مقادیر درست‌اند.</t>
  </si>
  <si>
    <t xml:space="preserve">F-0.5.4</t>
  </si>
  <si>
    <t xml:space="preserve">متریک‌های سالانه و ماهانه</t>
  </si>
  <si>
    <t xml:space="preserve">جدول متریک‌ها به تفکیک سال و ماه برای گزارش و تست یکنواختی.</t>
  </si>
  <si>
    <t xml:space="preserve">جمع سود ماهانه برابر سود سالانه و کل است.</t>
  </si>
  <si>
    <t xml:space="preserve">F-0.6.1</t>
  </si>
  <si>
    <t xml:space="preserve">مدیر تقسیم داده و قفل هولدآوت</t>
  </si>
  <si>
    <t xml:space="preserve">تقسیم توسعه / Embargo / هولدآوت (۲۰٪ انتهایی، حداقل ۱۸ ماه)؛ طول Embargo = بلندترین lookback + بیشینهٔ مدت نگهداری؛ دسترسی به هولدآوت فقط از مرحلهٔ ۶ و یک بار، با ثبت در رجیستری؛ هشدار اگر ترید مورد انتظار در هولدآوت کمتر از ۳۰ باشد.</t>
  </si>
  <si>
    <t xml:space="preserve">هر تلاش برای خواندن هولدآوت خارج از مرحلهٔ ۶ خطا می‌دهد؛ دسترسی دوم به هولدآوت مصرف‌شده مسدود است.</t>
  </si>
  <si>
    <t xml:space="preserve">F-0.1.8, F-0.7.1</t>
  </si>
  <si>
    <t xml:space="preserve">F-0.7.1</t>
  </si>
  <si>
    <t xml:space="preserve">registry</t>
  </si>
  <si>
    <t xml:space="preserve">رجیستری تریال‌ها</t>
  </si>
  <si>
    <t xml:space="preserve">ثبت هر اجرا: شناسه، مرحله، نماد، تایم‌فریم، جهت، استراتژی، پارامترها، هش کانفیگ، نسخهٔ داده، نسخهٔ کد، seed، متریک‌ها، زمان. شبیه‌سازی‌های MC و بوت‌استرپ تریال نیستند و فقط خلاصهٔ توزیع ذخیره می‌شود.</t>
  </si>
  <si>
    <t xml:space="preserve">همهٔ اجراهای یک قیف قابل پرس‌وجو هستند؛ تعداد تریال‌ها با تعداد پیکربندی‌های ارزیابی‌شده برابر است.</t>
  </si>
  <si>
    <t xml:space="preserve">T03</t>
  </si>
  <si>
    <t xml:space="preserve">F-0.7.2</t>
  </si>
  <si>
    <t xml:space="preserve">شمارش تریال به تفکیک خانوادهٔ جستجو</t>
  </si>
  <si>
    <t xml:space="preserve">نگه‌داری تعداد خام تریال‌ها برای هر کاندید در کل مسیر قیف.</t>
  </si>
  <si>
    <t xml:space="preserve">برای هر کاندید، تعداد تریال همهٔ مراحل قبلی قابل استخراج است.</t>
  </si>
  <si>
    <t xml:space="preserve">F-0.7.3</t>
  </si>
  <si>
    <t xml:space="preserve">ثبت گیت‌ها، هولدآوت و تصمیمات</t>
  </si>
  <si>
    <t xml:space="preserve">ثبت نتیجهٔ هر معیار گیت (مقدار، آستانه، عبور/رد، دلیل)، مصرف هولدآوت، تصمیم تحلیلگر.</t>
  </si>
  <si>
    <t xml:space="preserve">مسیر کامل هر کاندید در قیف از رجیستری بازسازی می‌شود.</t>
  </si>
  <si>
    <t xml:space="preserve">F-0.7.4</t>
  </si>
  <si>
    <t xml:space="preserve">بازتولید اجرا</t>
  </si>
  <si>
    <t xml:space="preserve">اجرای دوبارهٔ هر تریال از روی شناسهٔ رجیستری.</t>
  </si>
  <si>
    <t xml:space="preserve">نتیجهٔ بازتولید بیت‌به‌بیت با نتیجهٔ اصلی یکسان است.</t>
  </si>
  <si>
    <t xml:space="preserve">F-0.7.1, F-0.1.8</t>
  </si>
  <si>
    <t xml:space="preserve">F-0.8.1</t>
  </si>
  <si>
    <t xml:space="preserve">gates</t>
  </si>
  <si>
    <t xml:space="preserve">موتور گیت اعلامی</t>
  </si>
  <si>
    <t xml:space="preserve">تعریف گیت‌ها در کانفیگ (متریک، عملگر، آستانه) با امکان بازنویسی برای هر کلاس دارایی و تایم‌فریم؛ هیچ آستانه‌ای در کد نیست.</t>
  </si>
  <si>
    <t xml:space="preserve">تغییر آستانه در کانفیگ بدون تغییر کد، نتیجهٔ گیت را تغییر می‌دهد؛ هر نتیجه با دلیل ثبت می‌شود.</t>
  </si>
  <si>
    <t xml:space="preserve">F-0.8.2</t>
  </si>
  <si>
    <t xml:space="preserve">کانفیگ اجرای قیف</t>
  </si>
  <si>
    <t xml:space="preserve">یک فایل کانفیگ برای اجرای قیف یک نماد یا یونیورس، با هش.</t>
  </si>
  <si>
    <t xml:space="preserve">اجرای دوباره با همان کانفیگ و نسخهٔ داده نتیجهٔ یکسان می‌دهد.</t>
  </si>
  <si>
    <t xml:space="preserve">F-0.9.1</t>
  </si>
  <si>
    <t xml:space="preserve">universe</t>
  </si>
  <si>
    <t xml:space="preserve">رجیستری یونیورس</t>
  </si>
  <si>
    <t xml:space="preserve">فهرست نمادها با کلاس دارایی، منبع مرجع، تایم‌فریم‌ها، پروفایل هزینه، سشن، و گروه (برای اعتبارسنجی متقاطع).</t>
  </si>
  <si>
    <t xml:space="preserve">هر نماد دقیقاً یک منبع مرجع دارد؛ نماد بدون پروفایل هزینه یا منبع قابل اجرا نیست.</t>
  </si>
  <si>
    <t xml:space="preserve">F-0.9.2</t>
  </si>
  <si>
    <t xml:space="preserve">نمای وضعیت یونیورس</t>
  </si>
  <si>
    <t xml:space="preserve">نمایش مرحلهٔ فعلی هر نماد و دلیل توقف.</t>
  </si>
  <si>
    <t xml:space="preserve">وضعیت با رجیستری سازگار است.</t>
  </si>
  <si>
    <t xml:space="preserve">F-0.9.1, F-0.7.3</t>
  </si>
  <si>
    <t xml:space="preserve">F-1.1</t>
  </si>
  <si>
    <t xml:space="preserve">stages.edge</t>
  </si>
  <si>
    <t xml:space="preserve">باتری پروب‌های MR</t>
  </si>
  <si>
    <t xml:space="preserve">چهار گروه: اسیلاتور (RSI2&lt;10، RSI5&lt;30، IBS&lt;0.2)، باند/کانال (بولینجر ۲۰،۲؛ دانچین ۲۰؛ Z-Score&lt;−2؛ کف ۷ کندل)، توالی (۳ کلوز نزولی)، مومنتوم (هیستوگرام MACD در کف ۵ کندل). شورت آینهٔ لانگ.</t>
  </si>
  <si>
    <t xml:space="preserve">همهٔ پروب‌ها با پارامتر ثابت روی هر دو جهت اجرا می‌شوند؛ عضویت گروه در کانفیگ است.</t>
  </si>
  <si>
    <t xml:space="preserve">T12</t>
  </si>
  <si>
    <t xml:space="preserve">F-0.4.2, F-0.4.3</t>
  </si>
  <si>
    <t xml:space="preserve">F-1.2</t>
  </si>
  <si>
    <t xml:space="preserve">باتری پروب‌های TF</t>
  </si>
  <si>
    <t xml:space="preserve">پنج گروه: MA (شیب MA50، کراس ۲۰/۱۰۰)، شکست کانال (دانچین ۲۰ و ۵۵، بولینجر بالا)، تریلینگ نوسانی (سوپرترند ۱۰،۳)، ایچیموکو (۹،۲۶،۵۲)، مومنتوم (ROC20).</t>
  </si>
  <si>
    <t xml:space="preserve">مانند F-1.1.</t>
  </si>
  <si>
    <t xml:space="preserve">F-1.3</t>
  </si>
  <si>
    <t xml:space="preserve">خروج ثابت پروب‌ها</t>
  </si>
  <si>
    <t xml:space="preserve">MR: کلوز بالای High کندل قبل یا حداکثر ۵ کندل. TF: سیگنال معکوس، سقف ۵۰ کندل، استاپ فاجعهٔ ۳ATR.</t>
  </si>
  <si>
    <t xml:space="preserve">خروج‌ها مطابق تعریف در تست‌های واحد.</t>
  </si>
  <si>
    <t xml:space="preserve">F-1.4</t>
  </si>
  <si>
    <t xml:space="preserve">baseline</t>
  </si>
  <si>
    <t xml:space="preserve">تولیدکنندهٔ Baseline تصادفی</t>
  </si>
  <si>
    <t xml:space="preserve">۱۰۰۰ شبیه‌سازی ورود تصادفی با همان جهت، تعداد ترید و توزیع مدت نگهداری، فقط روی کندل‌های مجاز؛ بدون هم‌پوشانی اگر پروب هم‌پوشانی ندارد.</t>
  </si>
  <si>
    <t xml:space="preserve">روی دادهٔ قدم‌زدن تصادفی، صدک پروب‌ها تقریباً یکنواخت توزیع می‌شود؛ ویژگی‌های تطبیق‌شده برابرند.</t>
  </si>
  <si>
    <t xml:space="preserve">F-1.5</t>
  </si>
  <si>
    <t xml:space="preserve">صدک پروب و بازده مازاد</t>
  </si>
  <si>
    <t xml:space="preserve">محاسبهٔ صدک هر پروب در توزیع تصادفی و بازده مازاد هر ترید بر حسب ATR.</t>
  </si>
  <si>
    <t xml:space="preserve">مقادیر روی دادهٔ با اج کاشته‌شده به‌طور معنادار بالا و روی دادهٔ تصادفی نزدیک میانه است.</t>
  </si>
  <si>
    <t xml:space="preserve">F-1.4, F-0.5.1</t>
  </si>
  <si>
    <t xml:space="preserve">F-1.6</t>
  </si>
  <si>
    <t xml:space="preserve">امتیاز قدرت اج (ESS)</t>
  </si>
  <si>
    <t xml:space="preserve">گستردگی بر اساس گروه (۳۰)، شدت (۳۰)، معناداری (۲۰)، ثبات (۲۰)؛ وزن‌ها از کانفیگ؛ نرمال‌سازی ۰ تا ۱۰۰.</t>
  </si>
  <si>
    <t xml:space="preserve">امتیاز در بازهٔ ۰ تا ۱۰۰؛ تغییر وزن در کانفیگ اعمال می‌شود؛ تست‌های واحد مؤلفه‌ها.</t>
  </si>
  <si>
    <t xml:space="preserve">F-1.7</t>
  </si>
  <si>
    <t xml:space="preserve">stats</t>
  </si>
  <si>
    <t xml:space="preserve">شواهد آماری مکمل (گزارشی)</t>
  </si>
  <si>
    <t xml:space="preserve">Variance Ratio، نمای هرست، خودهمبستگی، نیمه‌عمر بازگشت؛ فقط در گزارش.</t>
  </si>
  <si>
    <t xml:space="preserve">مقادیر روی سری‌های ساختگی با ویژگی معلوم درست‌اند؛ در گیت اثری ندارند.</t>
  </si>
  <si>
    <t xml:space="preserve">F-1.8</t>
  </si>
  <si>
    <t xml:space="preserve">گیت مرحلهٔ ۱</t>
  </si>
  <si>
    <t xml:space="preserve">حداقل ترید (روزانه ۳۰، ساعتی ۱۰۰)، صدک پروب ≥ ۹۰، PF ≥ ۱٫۱، حداقل ۳ گروه، ESS ≥ ۵۰.</t>
  </si>
  <si>
    <t xml:space="preserve">نتیجهٔ گیت با دلیل در رجیستری؛ آستانه‌ها از کانفیگ.</t>
  </si>
  <si>
    <t xml:space="preserve">F-1.6, F-0.8.1</t>
  </si>
  <si>
    <t xml:space="preserve">F-1.9</t>
  </si>
  <si>
    <t xml:space="preserve">آرتیفکت پروفایل اج</t>
  </si>
  <si>
    <t xml:space="preserve">خروجی استاندارد: نماد × تایم‌فریم × جهت × نوع اج → ESS، مؤلفه‌ها، پروب‌های موفق؛ نقشهٔ حرارتی یونیورس.</t>
  </si>
  <si>
    <t xml:space="preserve">آرتیفکت ورودی مستقیم مرحلهٔ ۲ است؛ اسکیما اعتبارسنجی می‌شود.</t>
  </si>
  <si>
    <t xml:space="preserve">F-1S.1</t>
  </si>
  <si>
    <t xml:space="preserve">stages.seasonal</t>
  </si>
  <si>
    <t xml:space="preserve">آمار باکت‌های زمانی</t>
  </si>
  <si>
    <t xml:space="preserve">ساعت، ساعت × روز هفته، روز هفته، روز ماه و Turn-of-Month، ماه، قبل و بعد تعطیلات، باز شدن سشن‌ها.</t>
  </si>
  <si>
    <t xml:space="preserve">میانگین و خطای استاندارد مقاوم برای هر باکت؛ جمع‌بندی سازگار با کل.</t>
  </si>
  <si>
    <t xml:space="preserve">F-1S.2</t>
  </si>
  <si>
    <t xml:space="preserve">آزمون و تصحیح چندگانه</t>
  </si>
  <si>
    <t xml:space="preserve">مقایسه با میانگین کل، تصحیح BH، ثبات جهت در سال‌ها و دو نیمه.</t>
  </si>
  <si>
    <t xml:space="preserve">روی دادهٔ تصادفی نرخ کشف کاذب در سطح اسمی است.</t>
  </si>
  <si>
    <t xml:space="preserve">F-1S.3</t>
  </si>
  <si>
    <t xml:space="preserve">روباستنس سیزنال</t>
  </si>
  <si>
    <t xml:space="preserve">شیفت ±۱ ساعت، حذف ۵٪ بزرگ‌ترین روزها، زمان محلی در برابر UTC، استرس هزینهٔ ۱٫۵.</t>
  </si>
  <si>
    <t xml:space="preserve">هر آزمون نتیجه و وضعیت عبور دارد.</t>
  </si>
  <si>
    <t xml:space="preserve">F-1S.4</t>
  </si>
  <si>
    <t xml:space="preserve">ساخت استراتژی سیزنال و مسیردهی</t>
  </si>
  <si>
    <t xml:space="preserve">ورود ابتدای باکت و خروج انتهای آن؛ ارسال به مرحلهٔ ۵ فقط با فیلترهای رژیم.</t>
  </si>
  <si>
    <t xml:space="preserve">مرحلهٔ ۵ برای این کاندیدها فیلتر تقویمی پیشنهاد نمی‌دهد.</t>
  </si>
  <si>
    <t xml:space="preserve">F-1S.3, F-5.6</t>
  </si>
  <si>
    <t xml:space="preserve">F-2.1</t>
  </si>
  <si>
    <t xml:space="preserve">کتابخانهٔ گستردهٔ MR</t>
  </si>
  <si>
    <t xml:space="preserve">پروب‌های مرحلهٔ ۱ + Connors RSI، RSI تجمعی، Williams %R، استوکاستیک، کف کلتنر، فاصله از MA، کف N روزه.</t>
  </si>
  <si>
    <t xml:space="preserve">هر متد پارامترهای اعلام‌شده و تست مرجع اندیکاتور دارد.</t>
  </si>
  <si>
    <t xml:space="preserve">T13</t>
  </si>
  <si>
    <t xml:space="preserve">F-0.4.1, F-0.4.2</t>
  </si>
  <si>
    <t xml:space="preserve">F-2.2</t>
  </si>
  <si>
    <t xml:space="preserve">کتابخانهٔ گستردهٔ TF</t>
  </si>
  <si>
    <t xml:space="preserve">پروب‌های مرحلهٔ ۱ + شکست کلتنر، ADX/DI، Hull MA، KAMA، Parabolic SAR، Aroon، مومنتوم دوگانه.</t>
  </si>
  <si>
    <t xml:space="preserve">مانند F-2.1.</t>
  </si>
  <si>
    <t xml:space="preserve">F-2.3</t>
  </si>
  <si>
    <t xml:space="preserve">stages.screen</t>
  </si>
  <si>
    <t xml:space="preserve">گرید درشت</t>
  </si>
  <si>
    <t xml:space="preserve">۴ مقدار برای هر پارامتر، سقف ۶۴ سلول برای هر متد؛ خروج ثابت مرحلهٔ ۱.</t>
  </si>
  <si>
    <t xml:space="preserve">هیچ متدی بیش از ۶۴ سلول ندارد؛ همهٔ سلول‌ها در رجیستری.</t>
  </si>
  <si>
    <t xml:space="preserve">F-0.3.7, F-1.3</t>
  </si>
  <si>
    <t xml:space="preserve">F-2.4</t>
  </si>
  <si>
    <t xml:space="preserve">امتیاز خانوادهٔ متد</t>
  </si>
  <si>
    <t xml:space="preserve">میانهٔ گرید (۴۰)، درصد سلول سودده (۲۵)، بازده مازاد نسبت به Baseline (۲۰)، ثبات سالانه (۱۵).</t>
  </si>
  <si>
    <t xml:space="preserve">متد با یک سلول عالی و بقیهٔ ضعیف امتیاز کمتری از متد یکنواخت خوب می‌گیرد (تست ساختگی).</t>
  </si>
  <si>
    <t xml:space="preserve">F-2.3, F-1.4</t>
  </si>
  <si>
    <t xml:space="preserve">F-2.5</t>
  </si>
  <si>
    <t xml:space="preserve">رتبه‌بندی ترکیبی Rank-Sum</t>
  </si>
  <si>
    <t xml:space="preserve">رتبه‌بندی بر اساس جمع رتبه‌ها برای جلوگیری از اثر مقیاس.</t>
  </si>
  <si>
    <t xml:space="preserve">نتیجه نسبت به تبدیل مقیاس متریک‌ها ناوردا است.</t>
  </si>
  <si>
    <t xml:space="preserve">F-2.6</t>
  </si>
  <si>
    <t xml:space="preserve">شرط تنوع</t>
  </si>
  <si>
    <t xml:space="preserve">محاسبهٔ همپوشانی کندل‌های در پوزیشن بین کاندیدها؛ حذف ضعیف‌تر اگر بیش از ۶۰٪.</t>
  </si>
  <si>
    <t xml:space="preserve">هیچ دو کاندید منتخبی همپوشانی بیش از ۶۰٪ ندارند.</t>
  </si>
  <si>
    <t xml:space="preserve">F-2.7</t>
  </si>
  <si>
    <t xml:space="preserve">گیت و آرتیفکت مرحلهٔ ۲</t>
  </si>
  <si>
    <t xml:space="preserve">میانهٔ گرید مثبت، ≥۶۰٪ سلول سودده، حداقل ترید؛ خروجی ۳ تا ۵ کاندید با نقشهٔ حرارتی گرید.</t>
  </si>
  <si>
    <t xml:space="preserve">آرتیفکت ورودی مستقیم مرحلهٔ ۳ است.</t>
  </si>
  <si>
    <t xml:space="preserve">F-2.6, F-0.8.1</t>
  </si>
  <si>
    <t xml:space="preserve">F-3.1</t>
  </si>
  <si>
    <t xml:space="preserve">stages.optimize</t>
  </si>
  <si>
    <t xml:space="preserve">گرید ریز</t>
  </si>
  <si>
    <t xml:space="preserve">جستجو در ناحیهٔ خوب گرید درشت؛ حداکثر ۳ پارامتر آزاد؛ سقف ۲۰۰۰ ترکیب.</t>
  </si>
  <si>
    <t xml:space="preserve">سقف‌ها رعایت می‌شوند؛ همهٔ ترکیب‌ها در رجیستری.</t>
  </si>
  <si>
    <t xml:space="preserve">T14</t>
  </si>
  <si>
    <t xml:space="preserve">F-3.2</t>
  </si>
  <si>
    <t xml:space="preserve">روش جستجوی قابل تعویض</t>
  </si>
  <si>
    <t xml:space="preserve">رابط برای روش جستجو (گرید کامل، بیزی و ...)؛ انتخاب ابزار در فاز طراحی.</t>
  </si>
  <si>
    <t xml:space="preserve">تعویض روش بدون تغییر سایر اجزای مرحله.</t>
  </si>
  <si>
    <t xml:space="preserve">F-3.3</t>
  </si>
  <si>
    <t xml:space="preserve">هموارسازی سطح و انتخاب پلاتو</t>
  </si>
  <si>
    <t xml:space="preserve">میانگین همسایگی با یک گام در هر جهت؛ انتخاب بیشینهٔ سطح هموارشده.</t>
  </si>
  <si>
    <t xml:space="preserve">روی سطح ساختگی با قلهٔ تیز و پلاتوی پهن، مرکز پلاتو انتخاب می‌شود نه قله.</t>
  </si>
  <si>
    <t xml:space="preserve">F-3.4</t>
  </si>
  <si>
    <t xml:space="preserve">متریک‌های پلاتو</t>
  </si>
  <si>
    <t xml:space="preserve">نسبت پایداری، مساحت پلاتو، شیب لبه.</t>
  </si>
  <si>
    <t xml:space="preserve">مقادیر روی سطوح ساختگی درست‌اند.</t>
  </si>
  <si>
    <t xml:space="preserve">F-3.5</t>
  </si>
  <si>
    <t xml:space="preserve">robustness</t>
  </si>
  <si>
    <t xml:space="preserve">SPP</t>
  </si>
  <si>
    <t xml:space="preserve">توزیع عملکرد همهٔ ترکیب‌ها؛ میانه، صدک ۵ و ۹۵.</t>
  </si>
  <si>
    <t xml:space="preserve">گزارش SPP برای هر کاندید؛ میانه ورودی گیت.</t>
  </si>
  <si>
    <t xml:space="preserve">F-3.6</t>
  </si>
  <si>
    <t xml:space="preserve">پایداری زمانی پارامتر</t>
  </si>
  <si>
    <t xml:space="preserve">بهینه‌سازی جدا روی دو نیمهٔ دادهٔ توسعه.</t>
  </si>
  <si>
    <t xml:space="preserve">بررسی قرار گرفتن پارامتر منتخب در ناحیهٔ قبول هر دو نیمه.</t>
  </si>
  <si>
    <t xml:space="preserve">F-3.7</t>
  </si>
  <si>
    <t xml:space="preserve">گیت و آرتیفکت مرحلهٔ ۳</t>
  </si>
  <si>
    <t xml:space="preserve">میانهٔ SPP مثبت، نسبت پایداری ≥ ۰٫۸، پلاتو ≥ ۱۰٪، پایداری دو نیمه؛ همهٔ کاندیدهای عبوری ادامه می‌دهند.</t>
  </si>
  <si>
    <t xml:space="preserve">آرتیفکت شامل پارامتر مرکز، محدودهٔ پلاتو و گزارش SPP.</t>
  </si>
  <si>
    <t xml:space="preserve">F-3.4, F-3.5, F-3.6</t>
  </si>
  <si>
    <t xml:space="preserve">F-4.1</t>
  </si>
  <si>
    <t xml:space="preserve">stages.exit</t>
  </si>
  <si>
    <t xml:space="preserve">تحلیل MAE/MFE و Edge Ratio</t>
  </si>
  <si>
    <t xml:space="preserve">تحلیل پیش از بهینه‌سازی خروج برای تعیین افق تخلیهٔ اج.</t>
  </si>
  <si>
    <t xml:space="preserve">نمودار و جدول Edge Ratio برای ۱ تا N کندل.</t>
  </si>
  <si>
    <t xml:space="preserve">F-4.2</t>
  </si>
  <si>
    <t xml:space="preserve">جستجوی خانوادهٔ خروج</t>
  </si>
  <si>
    <t xml:space="preserve">گرید درشت روی خانواده‌ها، گرید ریز روی منتخب، با پلاتو و SPP.</t>
  </si>
  <si>
    <t xml:space="preserve">مانند مرحلهٔ ۳.</t>
  </si>
  <si>
    <t xml:space="preserve">F-0.3.3, F-3.3, F-3.5</t>
  </si>
  <si>
    <t xml:space="preserve">F-4.3</t>
  </si>
  <si>
    <t xml:space="preserve">گزارش استاپ فاجعه</t>
  </si>
  <si>
    <t xml:space="preserve">درصد تریدهای خورده به استاپ ۳ATR؛ هشدار بالای ۲٪.</t>
  </si>
  <si>
    <t xml:space="preserve">هشدار در گزارش و بستهٔ شواهد.</t>
  </si>
  <si>
    <t xml:space="preserve">F-4.4</t>
  </si>
  <si>
    <t xml:space="preserve">بررسی متقابل ورود</t>
  </si>
  <si>
    <t xml:space="preserve">گرید کوچک ورود با خروج جدید برای تأیید پلاتو.</t>
  </si>
  <si>
    <t xml:space="preserve">گزارش جابه‌جایی پلاتو.</t>
  </si>
  <si>
    <t xml:space="preserve">F-4.5</t>
  </si>
  <si>
    <t xml:space="preserve">گیت مرحلهٔ ۴</t>
  </si>
  <si>
    <t xml:space="preserve">بهبود ≥ ۱۰٪ در بیشتر سال‌ها یا حفظ خروج پایه؛ کل پارامترهای آزاد ≤ ۵.</t>
  </si>
  <si>
    <t xml:space="preserve">نتیجه با دلیل در رجیستری.</t>
  </si>
  <si>
    <t xml:space="preserve">F-5.1</t>
  </si>
  <si>
    <t xml:space="preserve">diagnostics</t>
  </si>
  <si>
    <t xml:space="preserve">باکت‌بندی تشخیصی</t>
  </si>
  <si>
    <t xml:space="preserve">ساعت، روز هفته، روز ماه، ماه، سشن، رژیم نوسان، رژیم روند، ویژگی‌های ترید.</t>
  </si>
  <si>
    <t xml:space="preserve">متریک‌های هر باکت؛ جمع سازگار با کل.</t>
  </si>
  <si>
    <t xml:space="preserve">F-5.2</t>
  </si>
  <si>
    <t xml:space="preserve">نقاط قوت و ضعف</t>
  </si>
  <si>
    <t xml:space="preserve">نقشه‌های حرارتی، فهرست رتبه‌بندی‌شده و متن توصیفی فارسی.</t>
  </si>
  <si>
    <t xml:space="preserve">بخش مربوط در گزارش HTML.</t>
  </si>
  <si>
    <t xml:space="preserve">F-5.1, F-X.3</t>
  </si>
  <si>
    <t xml:space="preserve">F-5.3</t>
  </si>
  <si>
    <t xml:space="preserve">روباستنس باکت</t>
  </si>
  <si>
    <t xml:space="preserve">حداقل ۳۰ ترید، BH با q ≤ ۰٫۱، انقباض بیزی تجربی، ثبات ۷۰٪ سال‌ها و دو نیمه، پیوستگی همسایگی؛ ثبت باکت‌ها به‌عنوان تریال.</t>
  </si>
  <si>
    <t xml:space="preserve">روی دادهٔ تصادفی تقریباً هیچ باکتی عبور نمی‌کند.</t>
  </si>
  <si>
    <t xml:space="preserve">F-5.1, F-0.7.1</t>
  </si>
  <si>
    <t xml:space="preserve">F-5.4</t>
  </si>
  <si>
    <t xml:space="preserve">فیلترها و پریست‌ها</t>
  </si>
  <si>
    <t xml:space="preserve">خانواده‌های روند، نوسان، حجم، تقویمی، رژیم بازار مرجع، گپ؛ و فیلترهای کاندید از تحلیل تشخیصی.</t>
  </si>
  <si>
    <t xml:space="preserve">هر فیلتر به‌صورت جزء مستقل با پارامتر اعلام‌شده.</t>
  </si>
  <si>
    <t xml:space="preserve">F-0.4.1, F-0.1.11</t>
  </si>
  <si>
    <t xml:space="preserve">F-5.5</t>
  </si>
  <si>
    <t xml:space="preserve">stages.filter</t>
  </si>
  <si>
    <t xml:space="preserve">آزمون پذیرش فیلتر</t>
  </si>
  <si>
    <t xml:space="preserve">۱۰۰۰ بار حذف تصادفی همان تعداد ترید، صدک ≥ ۹۵، حفظ ≥ ۶۰٪ ترید، بهبود در ≥ ۶۰٪ سال‌ها، حداکثر ۲ فیلتر حریصانه.</t>
  </si>
  <si>
    <t xml:space="preserve">F-5.4, F-1.4</t>
  </si>
  <si>
    <t xml:space="preserve">F-5.6</t>
  </si>
  <si>
    <t xml:space="preserve">مسیر سیزنال (فقط رژیم)</t>
  </si>
  <si>
    <t xml:space="preserve">برای کاندیدهای سیزنال فقط فیلترهای رژیم مجازند.</t>
  </si>
  <si>
    <t xml:space="preserve">فیلتر تقویمی برای سیزنال مسدود است.</t>
  </si>
  <si>
    <t xml:space="preserve">F-5.7</t>
  </si>
  <si>
    <t xml:space="preserve">بازخورد به مراحل ۴ و ۱۱</t>
  </si>
  <si>
    <t xml:space="preserve">علامت‌گذاری ضعف‌هایی که با فیلتر حل نمی‌شوند.</t>
  </si>
  <si>
    <t xml:space="preserve">در گزارش و بستهٔ شواهد.</t>
  </si>
  <si>
    <t xml:space="preserve">F-6.1</t>
  </si>
  <si>
    <t xml:space="preserve">تست یکنواختی</t>
  </si>
  <si>
    <t xml:space="preserve">R² و K-Ratio، آزمون KS بین دوره‌ها، ضریب تغییرات متریک‌های سالانه، آنومالی (سهم ۵٪ برتر، بدون ۱۰ ترید برتر، بدون بهترین سال).</t>
  </si>
  <si>
    <t xml:space="preserve">هر سنجه با وضعیت عبور.</t>
  </si>
  <si>
    <t xml:space="preserve">F-6.2</t>
  </si>
  <si>
    <t xml:space="preserve">Walk-Forward</t>
  </si>
  <si>
    <t xml:space="preserve">لنگرشده و غلتان؛ روزانه ۴/۱ سال، ساعتی ۲ سال/۶ ماه؛ کوچک‌سازی خودکار اگر کمتر از ۴ پنجره؛ بهینه‌سازی پلاتو در هر پنجره؛ WFE.</t>
  </si>
  <si>
    <t xml:space="preserve">تعداد پنجره‌ها و علامت کوچک‌سازی در گزارش.</t>
  </si>
  <si>
    <t xml:space="preserve">F-6.3</t>
  </si>
  <si>
    <t xml:space="preserve">ماتریس Walk-Forward</t>
  </si>
  <si>
    <t xml:space="preserve">ماتریس ۵×۵ طول داخل و خارج از نمونه؛ درصد خانه‌های موفق.</t>
  </si>
  <si>
    <t xml:space="preserve">نقشهٔ حرارتی ماتریس.</t>
  </si>
  <si>
    <t xml:space="preserve">F-6.4</t>
  </si>
  <si>
    <t xml:space="preserve">مجموعهٔ مونت‌کارلو</t>
  </si>
  <si>
    <t xml:space="preserve">جابه‌جایی ترتیب، بوت‌استرپ، حذف ۱۰–۲۰٪ ترید، نویز قیمت، نویز پارامتر، تاریخ شروع تصادفی، استرس هزینه؛ ۱۰۰۰ برای غربال، ۵۰۰۰ برای نهایی.</t>
  </si>
  <si>
    <t xml:space="preserve">توزیع‌ها و صدک‌ها ذخیره؛ seed ثابت برای تکرارپذیری.</t>
  </si>
  <si>
    <t xml:space="preserve">F-0.3.7, F-0.2.4</t>
  </si>
  <si>
    <t xml:space="preserve">F-6.5</t>
  </si>
  <si>
    <t xml:space="preserve">SPP نهایی</t>
  </si>
  <si>
    <t xml:space="preserve">SPP روی کل استراتژی (ورود، خروج، فیلتر).</t>
  </si>
  <si>
    <t xml:space="preserve">مانند F-3.5.</t>
  </si>
  <si>
    <t xml:space="preserve">F-6.6</t>
  </si>
  <si>
    <t xml:space="preserve">اعتبارسنجی متقاطع (گزارشی)</t>
  </si>
  <si>
    <t xml:space="preserve">اجرای بدون تغییر روی نمادهای هم‌گروه و تایم‌فریم مجاور.</t>
  </si>
  <si>
    <t xml:space="preserve">فقط گزارش؛ بدون اثر در گیت.</t>
  </si>
  <si>
    <t xml:space="preserve">F-6.7</t>
  </si>
  <si>
    <t xml:space="preserve">دوره‌های بحرانی</t>
  </si>
  <si>
    <t xml:space="preserve">۲۰۰۸، مارس ۲۰۲۰، ۲۰۲۲، ژانویهٔ ۲۰۱۵، اوت ۲۰۲۴ (در صورت وجود داده).</t>
  </si>
  <si>
    <t xml:space="preserve">جدول عملکرد هر دوره.</t>
  </si>
  <si>
    <t xml:space="preserve">F-6.8</t>
  </si>
  <si>
    <t xml:space="preserve">تست هولدآوت</t>
  </si>
  <si>
    <t xml:space="preserve">اجرای یک‌باره روی هولدآوت؛ مقایسه با باند مونت‌کارلو (بالای صدک ۵).</t>
  </si>
  <si>
    <t xml:space="preserve">ثبت مصرف هولدآوت؛ دسترسی دوم مسدود.</t>
  </si>
  <si>
    <t xml:space="preserve">F-0.6.1, F-6.4</t>
  </si>
  <si>
    <t xml:space="preserve">F-6.9</t>
  </si>
  <si>
    <t xml:space="preserve">امتیاز روباستنس و بلوک‌های حیاتی</t>
  </si>
  <si>
    <t xml:space="preserve">ترکیب وزنی بلوک‌ها؛ رد در WF، استرس ۲ برابر یا هولدآوت به‌تنهایی رد است.</t>
  </si>
  <si>
    <t xml:space="preserve">F-6.1..F-6.8</t>
  </si>
  <si>
    <t xml:space="preserve">F-7.1</t>
  </si>
  <si>
    <t xml:space="preserve">t-test و بوت‌استرپ</t>
  </si>
  <si>
    <t xml:space="preserve">t-test بازده ترید، HAC برای روزانه، بازهٔ اطمینان بوت‌استرپ شارپ و امید ریاضی.</t>
  </si>
  <si>
    <t xml:space="preserve">مقادیر با پیاده‌سازی مرجع برابر.</t>
  </si>
  <si>
    <t xml:space="preserve">F-7.2</t>
  </si>
  <si>
    <t xml:space="preserve">آزمون جایگشت مونت‌کارلو</t>
  </si>
  <si>
    <t xml:space="preserve">مقایسه با ورود تصادفی روی همان داده.</t>
  </si>
  <si>
    <t xml:space="preserve">p-value روی دادهٔ تصادفی تقریباً یکنواخت.</t>
  </si>
  <si>
    <t xml:space="preserve">F-7.3</t>
  </si>
  <si>
    <t xml:space="preserve">تعداد مؤثر تریال‌ها</t>
  </si>
  <si>
    <t xml:space="preserve">خوشه‌بندی نتایج همبستهٔ تریال‌ها برای تخمین N مؤثر.</t>
  </si>
  <si>
    <t xml:space="preserve">N مؤثر ≤ N خام؛ روی تریال‌های کاملاً همبسته نزدیک ۱.</t>
  </si>
  <si>
    <t xml:space="preserve">F-7.4</t>
  </si>
  <si>
    <t xml:space="preserve">Deflated Sharpe Ratio</t>
  </si>
  <si>
    <t xml:space="preserve">با N مؤثر، چولگی و کشیدگی.</t>
  </si>
  <si>
    <t xml:space="preserve">مقدار با مثال مرجع مقاله برابر؛ گیت ≥ ۰٫۹۵.</t>
  </si>
  <si>
    <t xml:space="preserve">F-7.5</t>
  </si>
  <si>
    <t xml:space="preserve">PBO به روش CSCV</t>
  </si>
  <si>
    <t xml:space="preserve">احتمال بیش‌برازش فرایند انتخاب.</t>
  </si>
  <si>
    <t xml:space="preserve">روی داده‌های تصادفی نزدیک ۰٫۵؛ گیت ≤ ۰٫۲۵.</t>
  </si>
  <si>
    <t xml:space="preserve">F-7.6</t>
  </si>
  <si>
    <t xml:space="preserve">Hansen SPA</t>
  </si>
  <si>
    <t xml:space="preserve">آزمون برتری بهترین کاندید بر مجموعه.</t>
  </si>
  <si>
    <t xml:space="preserve">p &lt; ۰٫۰۵ برای عبور.</t>
  </si>
  <si>
    <t xml:space="preserve">F-7.7</t>
  </si>
  <si>
    <t xml:space="preserve">Minimum Track Record Length</t>
  </si>
  <si>
    <t xml:space="preserve">طول دادهٔ لازم برای اطمینان.</t>
  </si>
  <si>
    <t xml:space="preserve">در گزارش.</t>
  </si>
  <si>
    <t xml:space="preserve">F-8.1</t>
  </si>
  <si>
    <t xml:space="preserve">evidence</t>
  </si>
  <si>
    <t xml:space="preserve">صادرکنندهٔ بستهٔ شواهد</t>
  </si>
  <si>
    <t xml:space="preserve">یک فایل JSON با schema_version: هویت و نسخه‌ها، مسیر قیف، تعریف استراتژی، متریک‌ها، نتایج تست‌ها، دادهٔ خلاصهٔ نمودارها، هشدارها، واژه‌نامه؛ بدون فهرست کامل تریدها؛ هر عدد کلید مسیر یکتا دارد.</t>
  </si>
  <si>
    <t xml:space="preserve">بسته خودبسنده است و اسکیما اعتبارسنجی می‌شود؛ حجم کنترل‌شده.</t>
  </si>
  <si>
    <t xml:space="preserve">F-8.2</t>
  </si>
  <si>
    <t xml:space="preserve">llm_report</t>
  </si>
  <si>
    <t xml:space="preserve">قالب گزارش</t>
  </si>
  <si>
    <t xml:space="preserve">بخش‌های ثابت شامل بخش اجباری نقاط ضعف.</t>
  </si>
  <si>
    <t xml:space="preserve">قالب نسخه‌دار.</t>
  </si>
  <si>
    <t xml:space="preserve">F-8.3</t>
  </si>
  <si>
    <t xml:space="preserve">مولد پکیج گزارش</t>
  </si>
  <si>
    <t xml:space="preserve">ساخت پوشهٔ پکیج: evidence.json + PROMPT.md + REPORT_SPEC.md با نسخهٔ پرامپت و قالب؛ بدون هیچ فراخوانی API.</t>
  </si>
  <si>
    <t xml:space="preserve">پکیج هر سه فایل را دارد؛ نسخه‌ها در JSON و رجیستری ثبت‌اند؛ PROMPT الزام ذکر کلید منبع هر عدد را دارد.</t>
  </si>
  <si>
    <t xml:space="preserve">F-8.1, F-8.2</t>
  </si>
  <si>
    <t xml:space="preserve">F-8.4</t>
  </si>
  <si>
    <t xml:space="preserve">ساخت فایل ورد داخل فریم‌ورک (لغو — ADR-009)</t>
  </si>
  <si>
    <t xml:space="preserve">فایل ورد توسط تحلیلگر در Claude چت از روی پکیج ساخته می‌شود.</t>
  </si>
  <si>
    <t xml:space="preserve">لغو</t>
  </si>
  <si>
    <t xml:space="preserve">F-8.5</t>
  </si>
  <si>
    <t xml:space="preserve">فرمان sfac report verify</t>
  </si>
  <si>
    <t xml:space="preserve">استخراج متن docx، یافتن همهٔ اعداد (ارقام فارسی و ٫)، تطبیق با مقادیر JSON با تلورانس گرد کردن، فهرست اعداد بی‌منبع یا ناهمخوان، بررسی بخش‌های اجباری؛ ثبت نتیجه در جدول reports.</t>
  </si>
  <si>
    <t xml:space="preserve">گزارش نمونه با یک عدد ساختگی تزریق‌شده رد می‌شود؛ گزارش سالم عبور می‌کند.</t>
  </si>
  <si>
    <t xml:space="preserve">F-8.6</t>
  </si>
  <si>
    <t xml:space="preserve">دامنه و تشخیص مرزی</t>
  </si>
  <si>
    <t xml:space="preserve">تولید برای عبوری‌ها و ردشده‌های مرزی مراحل ۶ و ۷ طبق تعریف.</t>
  </si>
  <si>
    <t xml:space="preserve">ردشدهٔ بلوک حیاتی هرگز مرزی نیست.</t>
  </si>
  <si>
    <t xml:space="preserve">F-9.1</t>
  </si>
  <si>
    <t xml:space="preserve">reports</t>
  </si>
  <si>
    <t xml:space="preserve">تیرشیت استاندارد</t>
  </si>
  <si>
    <t xml:space="preserve">داشبورد HTML فارسی با همهٔ متریک‌ها، مسیر قیف و نتایج.</t>
  </si>
  <si>
    <t xml:space="preserve">همهٔ بخش‌های سند مشخصات حاضر.</t>
  </si>
  <si>
    <t xml:space="preserve">F-X.3</t>
  </si>
  <si>
    <t xml:space="preserve">F-9.2</t>
  </si>
  <si>
    <t xml:space="preserve">چک‌لیست و ثبت تصمیم</t>
  </si>
  <si>
    <t xml:space="preserve">تأیید، رد، یا بازگشت به مرحلهٔ مشخص؛ یک تحلیلگر؛ ثبت دلیل.</t>
  </si>
  <si>
    <t xml:space="preserve">تصمیم بدون دلیل ثبت نمی‌شود.</t>
  </si>
  <si>
    <t xml:space="preserve">F-10.1</t>
  </si>
  <si>
    <t xml:space="preserve">portfolio</t>
  </si>
  <si>
    <t xml:space="preserve">تحلیل روابط</t>
  </si>
  <si>
    <t xml:space="preserve">همبستگی روزانه، همبستگی دنباله، همزمانی دراودان، همپوشانی اکسپوژر، خوشه‌بندی.</t>
  </si>
  <si>
    <t xml:space="preserve">ماتریس‌ها و نمودارها.</t>
  </si>
  <si>
    <t xml:space="preserve">F-10.2</t>
  </si>
  <si>
    <t xml:space="preserve">روش‌های وزن‌دهی با WF</t>
  </si>
  <si>
    <t xml:space="preserve">وزن برابر، معکوس نوسان، Risk Parity، HRP، بیشینه‌سازی با قید؛ پیش‌فرض وزن برابر اگر بقیه بهتر نبودند.</t>
  </si>
  <si>
    <t xml:space="preserve">مقایسهٔ خارج از نمونه در گزارش.</t>
  </si>
  <si>
    <t xml:space="preserve">F-10.3</t>
  </si>
  <si>
    <t xml:space="preserve">قیود تمرکز</t>
  </si>
  <si>
    <t xml:space="preserve">استراتژی ۱۰٪، نماد ۲۰٪، کلاس ۴۰٪.</t>
  </si>
  <si>
    <t xml:space="preserve">هیچ وزنی از قید عبور نمی‌کند.</t>
  </si>
  <si>
    <t xml:space="preserve">F-10.4</t>
  </si>
  <si>
    <t xml:space="preserve">ریبالانس و روباستنس پورتفو</t>
  </si>
  <si>
    <t xml:space="preserve">ریبالانس فصلی و مونت‌کارلو پورتفو.</t>
  </si>
  <si>
    <t xml:space="preserve">گزارش سطح پورتفو.</t>
  </si>
  <si>
    <t xml:space="preserve">F-10.2, F-6.4</t>
  </si>
  <si>
    <t xml:space="preserve">F-11.1</t>
  </si>
  <si>
    <t xml:space="preserve">sizing</t>
  </si>
  <si>
    <t xml:space="preserve">روش‌های سایزینگ</t>
  </si>
  <si>
    <t xml:space="preserve">حجم ثابت (مبنا)، هدف‌گذاری نوسان ATR، درصد ثابت، کلی محدودشده (مرجع).</t>
  </si>
  <si>
    <t xml:space="preserve">هر روش جزء مستقل.</t>
  </si>
  <si>
    <t xml:space="preserve">F-11.2</t>
  </si>
  <si>
    <t xml:space="preserve">محدودیت‌های ریسک</t>
  </si>
  <si>
    <t xml:space="preserve">ریسک هر ترید ۱٪ تا استاپ فاجعه، سقف نماد، روز، اکسپوژر ناخالص و خوشه.</t>
  </si>
  <si>
    <t xml:space="preserve">هیچ سفارشی از سقف عبور نمی‌کند.</t>
  </si>
  <si>
    <t xml:space="preserve">F-11.3</t>
  </si>
  <si>
    <t xml:space="preserve">مقایسهٔ خارج از نمونه</t>
  </si>
  <si>
    <t xml:space="preserve">جایگزینی حجم ثابت فقط با بهبود OOS.</t>
  </si>
  <si>
    <t xml:space="preserve">گزارش مقایسه.</t>
  </si>
  <si>
    <t xml:space="preserve">F-11.1, F-6.2</t>
  </si>
  <si>
    <t xml:space="preserve">F-11.4</t>
  </si>
  <si>
    <t xml:space="preserve">دراودان در سایزینگ پویا</t>
  </si>
  <si>
    <t xml:space="preserve">گزارش دراودان نسبت به قله در کنار نسبت به سرمایهٔ اولیه.</t>
  </si>
  <si>
    <t xml:space="preserve">هر دو در گزارش.</t>
  </si>
  <si>
    <t xml:space="preserve">F-12.1</t>
  </si>
  <si>
    <t xml:space="preserve">live</t>
  </si>
  <si>
    <t xml:space="preserve">باندهای انتظار</t>
  </si>
  <si>
    <t xml:space="preserve">از MC و OOS: دراودان، دنبالهٔ باخت، بازده ماهانه.</t>
  </si>
  <si>
    <t xml:space="preserve">باندها پیش از فعال‌سازی ذخیره می‌شوند.</t>
  </si>
  <si>
    <t xml:space="preserve">F-12.2</t>
  </si>
  <si>
    <t xml:space="preserve">نهفتگی</t>
  </si>
  <si>
    <t xml:space="preserve">۳ ماه یا ۳۰ ترید، هر کدام دیرتر.</t>
  </si>
  <si>
    <t xml:space="preserve">فعال‌سازی پیش از پایان نهفتگی ممکن نیست.</t>
  </si>
  <si>
    <t xml:space="preserve">F-12.3</t>
  </si>
  <si>
    <t xml:space="preserve">محرک‌های تعلیق</t>
  </si>
  <si>
    <t xml:space="preserve">دراودان &gt; صدک ۹۵، دنبالهٔ باخت &gt; صدک ۹۹، CUSUM، انحراف اسلیپیج.</t>
  </si>
  <si>
    <t xml:space="preserve">تعلیق خودکار با ثبت دلیل.</t>
  </si>
  <si>
    <t xml:space="preserve">F-12.4</t>
  </si>
  <si>
    <t xml:space="preserve">اجرای سایه و بازگشت</t>
  </si>
  <si>
    <t xml:space="preserve">ادامهٔ اجرای کاغذی در تعلیق؛ بازگشت با برگشت به باند.</t>
  </si>
  <si>
    <t xml:space="preserve">قاعدهٔ بازگشت از کانفیگ.</t>
  </si>
  <si>
    <t xml:space="preserve">F-12.5</t>
  </si>
  <si>
    <t xml:space="preserve">تطبیق واقعی با بک‌تست</t>
  </si>
  <si>
    <t xml:space="preserve">Tracking Error روزانه.</t>
  </si>
  <si>
    <t xml:space="preserve">گزارش اختلاف با دلیل.</t>
  </si>
  <si>
    <t xml:space="preserve">F-12.6</t>
  </si>
  <si>
    <t xml:space="preserve">بازاعتبارسنجی و نسخه‌بندی</t>
  </si>
  <si>
    <t xml:space="preserve">بازاعتبارسنجی فصلی؛ هر تغییر پارامتر نسخهٔ جدید و عبور دوباره از گیت‌ها.</t>
  </si>
  <si>
    <t xml:space="preserve">تاریخچهٔ نسخه‌ها در رجیستری.</t>
  </si>
  <si>
    <t xml:space="preserve">F-X.1</t>
  </si>
  <si>
    <t xml:space="preserve">pipeline</t>
  </si>
  <si>
    <t xml:space="preserve">ارکستراتور قیف</t>
  </si>
  <si>
    <t xml:space="preserve">اجرای مراحل برای یک نماد یا یونیورس، ادامه از نقطهٔ توقف، آرتیفکت استاندارد بین مراحل.</t>
  </si>
  <si>
    <t xml:space="preserve">قطع و ادامهٔ اجرا نتیجهٔ یکسان می‌دهد.</t>
  </si>
  <si>
    <t xml:space="preserve">T15</t>
  </si>
  <si>
    <t xml:space="preserve">F-0.8.2, F-0.7.1</t>
  </si>
  <si>
    <t xml:space="preserve">F-X.2</t>
  </si>
  <si>
    <t xml:space="preserve">رابط خط فرمان (CLI)</t>
  </si>
  <si>
    <t xml:space="preserve">فرمان‌های اجرای مرحله، قیف، بازتولید، صدور گزارش.</t>
  </si>
  <si>
    <t xml:space="preserve">همهٔ عملیات MVP از CLI قابل اجرا.</t>
  </si>
  <si>
    <t xml:space="preserve">چارچوب گزارش HTML فارسی</t>
  </si>
  <si>
    <t xml:space="preserve">قالب داشبورد راست‌به‌چپ، وزیرمتن، تعاملی و رنگی.</t>
  </si>
  <si>
    <t xml:space="preserve">گزارش نمونه در مرورگر درست نمایش داده می‌شود.</t>
  </si>
  <si>
    <t xml:space="preserve">F-X.4</t>
  </si>
  <si>
    <t xml:space="preserve">گزارش مراحل ۱ تا ۳</t>
  </si>
  <si>
    <t xml:space="preserve">پروفایل اج، نقشهٔ حرارتی یونیورس، گرید درشت، سطح پارامتر و SPP.</t>
  </si>
  <si>
    <t xml:space="preserve">همهٔ آرتیفکت‌های MVP در گزارش دیده می‌شوند.</t>
  </si>
  <si>
    <t xml:space="preserve">F-X.3, F-1.9, F-2.7, F-3.7</t>
  </si>
  <si>
    <t xml:space="preserve">F-X.5</t>
  </si>
  <si>
    <t xml:space="preserve">selftest</t>
  </si>
  <si>
    <t xml:space="preserve">خودآزمایی: نرخ مثبت کاذب</t>
  </si>
  <si>
    <t xml:space="preserve">اجرای قیف MVP روی صدها سری قدم‌زدن تصادفی.</t>
  </si>
  <si>
    <t xml:space="preserve">نرخ عبور از مرحلهٔ ۳ در حد انتظار آماری و گزارش می‌شود.</t>
  </si>
  <si>
    <t xml:space="preserve">F-X.6</t>
  </si>
  <si>
    <t xml:space="preserve">خودآزمایی: کشف اج کاشته‌شده</t>
  </si>
  <si>
    <t xml:space="preserve">دادهٔ مصنوعی با اج MR و TF معلوم.</t>
  </si>
  <si>
    <t xml:space="preserve">اج کشف و پارامتر نزدیک مقدار کاشته‌شده پیدا می‌شود.</t>
  </si>
  <si>
    <t xml:space="preserve">F-X.7</t>
  </si>
  <si>
    <t xml:space="preserve">رگرسیون روی استراتژی‌های شناخته‌شده</t>
  </si>
  <si>
    <t xml:space="preserve">اجرای مجدد استراتژی‌های فعلی تیم.</t>
  </si>
  <si>
    <t xml:space="preserve">نتایج با گزارش‌های قبلی و TradingView سازگار.</t>
  </si>
  <si>
    <t xml:space="preserve">F-X.8</t>
  </si>
  <si>
    <t xml:space="preserve">کالیبراسیون آستانه‌ها</t>
  </si>
  <si>
    <t xml:space="preserve">تنظیم آستانه‌ها با F-X.5 و F-X.6.</t>
  </si>
  <si>
    <t xml:space="preserve">آستانه‌های کالیبره در کانفیگ با گزارش توجیه.</t>
  </si>
  <si>
    <t xml:space="preserve">F-X.5, F-X.6</t>
  </si>
  <si>
    <t xml:space="preserve">F-X.9</t>
  </si>
  <si>
    <t xml:space="preserve">repo</t>
  </si>
  <si>
    <t xml:space="preserve">ریپو، CLAUDE.md و تست خودکار</t>
  </si>
  <si>
    <t xml:space="preserve">ساختار ریپو، قراردادها، سند مشخصات و فیچرلیست در ریپو، اجرای خودکار تست‌ها.</t>
  </si>
  <si>
    <t xml:space="preserve">هر تغییر پیش از ادغام تست‌ها را پاس می‌کند.</t>
  </si>
  <si>
    <t xml:space="preserve">T01</t>
  </si>
  <si>
    <t xml:space="preserve">F-X.10</t>
  </si>
  <si>
    <t xml:space="preserve">لاگ و مدیریت خطا</t>
  </si>
  <si>
    <t xml:space="preserve">لاگ ساختاریافته و پیام خطای روشن.</t>
  </si>
  <si>
    <t xml:space="preserve">هر خطا مرحله، نماد و کانفیگ را مشخص می‌کند.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</si>
</sst>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E3A5F"/>
      <name val="Vazirmatn"/>
      <family val="0"/>
      <charset val="1"/>
    </font>
    <font>
      <b val="true"/>
      <sz val="11"/>
      <color rgb="FFFFFFFF"/>
      <name val="Vazirmatn"/>
      <family val="0"/>
      <charset val="1"/>
    </font>
    <font>
      <b val="true"/>
      <sz val="10"/>
      <color rgb="FF1E3A5F"/>
      <name val="Vazirmatn"/>
      <family val="0"/>
      <charset val="1"/>
    </font>
    <font>
      <sz val="10"/>
      <color rgb="FF1F2937"/>
      <name val="Vazirmatn"/>
      <family val="0"/>
      <charset val="1"/>
    </font>
    <font>
      <b val="true"/>
      <sz val="10"/>
      <color rgb="FF1F2937"/>
      <name val="Vazirmatn"/>
      <family val="0"/>
      <charset val="1"/>
    </font>
    <font>
      <b val="true"/>
      <sz val="10"/>
      <color rgb="FF15803D"/>
      <name val="Vazirmatn"/>
      <family val="0"/>
      <charset val="1"/>
    </font>
    <font>
      <b val="true"/>
      <sz val="10"/>
      <color rgb="FF1D4ED8"/>
      <name val="Vazirmatn"/>
      <family val="0"/>
      <charset val="1"/>
    </font>
    <font>
      <b val="true"/>
      <sz val="10"/>
      <color rgb="FF6B7280"/>
      <name val="Vazirmatn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1F2937"/>
      </patternFill>
    </fill>
    <fill>
      <patternFill patternType="solid">
        <fgColor rgb="FFE2E8F0"/>
        <bgColor rgb="FFDBEAFE"/>
      </patternFill>
    </fill>
    <fill>
      <patternFill patternType="solid">
        <fgColor rgb="FFDCFCE7"/>
        <bgColor rgb="FFF3F4F6"/>
      </patternFill>
    </fill>
    <fill>
      <patternFill patternType="solid">
        <fgColor rgb="FFFEF9C3"/>
        <bgColor rgb="FFF3F4F6"/>
      </patternFill>
    </fill>
    <fill>
      <patternFill patternType="solid">
        <fgColor rgb="FFDBEAFE"/>
        <bgColor rgb="FFE2E8F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  <xf numFmtId="164" fontId="8" fillId="3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  <xf numFmtId="166" fontId="8" fillId="3" borderId="1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  <xf numFmtId="164" fontId="7" fillId="5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E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>
          <bgColor rgb="FFBBF7D0"/>
        </patternFill>
      </fill>
    </dxf>
    <dxf>
      <fill>
        <patternFill>
          <bgColor rgb="FFBFDB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EF9C3"/>
      <rgbColor rgb="FFDCFCE7"/>
      <rgbColor rgb="FF660066"/>
      <rgbColor rgb="FFFF8080"/>
      <rgbColor rgb="FF1D4ED8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BBF7D0"/>
      <rgbColor rgb="FFF3F4F6"/>
      <rgbColor rgb="FF99CCFF"/>
      <rgbColor rgb="FFFF99CC"/>
      <rgbColor rgb="FFCC99FF"/>
      <rgbColor rgb="FFE2E8F0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25.35" hidden="false" customHeight="false" outlineLevel="0" collapsed="false">
      <c r="A1" s="1" t="s">
        <v>0</v>
      </c>
      <c r="B1" s="1"/>
    </row>
    <row r="3" customFormat="false" ht="18.65" hidden="false" customHeight="false" outlineLevel="0" collapsed="false">
      <c r="A3" s="2" t="s">
        <v>1</v>
      </c>
      <c r="B3" s="2" t="s">
        <v>2</v>
      </c>
    </row>
    <row r="4" customFormat="false" ht="31.3" hidden="false" customHeight="false" outlineLevel="0" collapsed="false">
      <c r="A4" s="3" t="s">
        <v>3</v>
      </c>
      <c r="B4" s="4" t="s">
        <v>4</v>
      </c>
    </row>
    <row r="5" customFormat="false" ht="16.4" hidden="false" customHeight="false" outlineLevel="0" collapsed="false">
      <c r="A5" s="3" t="s">
        <v>5</v>
      </c>
      <c r="B5" s="4" t="s">
        <v>6</v>
      </c>
    </row>
    <row r="6" customFormat="false" ht="16.4" hidden="false" customHeight="false" outlineLevel="0" collapsed="false">
      <c r="A6" s="3" t="s">
        <v>7</v>
      </c>
      <c r="B6" s="4" t="s">
        <v>8</v>
      </c>
    </row>
    <row r="7" customFormat="false" ht="16.4" hidden="false" customHeight="false" outlineLevel="0" collapsed="false">
      <c r="A7" s="3" t="s">
        <v>9</v>
      </c>
      <c r="B7" s="4" t="s">
        <v>10</v>
      </c>
    </row>
    <row r="8" customFormat="false" ht="16.4" hidden="false" customHeight="false" outlineLevel="0" collapsed="false">
      <c r="A8" s="3" t="s">
        <v>11</v>
      </c>
      <c r="B8" s="4" t="s">
        <v>12</v>
      </c>
    </row>
    <row r="9" customFormat="false" ht="16.4" hidden="false" customHeight="false" outlineLevel="0" collapsed="false">
      <c r="A9" s="3" t="s">
        <v>13</v>
      </c>
      <c r="B9" s="4" t="s">
        <v>14</v>
      </c>
    </row>
    <row r="10" customFormat="false" ht="16.4" hidden="false" customHeight="false" outlineLevel="0" collapsed="false">
      <c r="A10" s="3" t="s">
        <v>15</v>
      </c>
      <c r="B10" s="4" t="s">
        <v>16</v>
      </c>
    </row>
    <row r="11" customFormat="false" ht="16.4" hidden="false" customHeight="false" outlineLevel="0" collapsed="false">
      <c r="A11" s="3" t="s">
        <v>17</v>
      </c>
      <c r="B11" s="4" t="s">
        <v>18</v>
      </c>
    </row>
    <row r="12" customFormat="false" ht="16.4" hidden="false" customHeight="false" outlineLevel="0" collapsed="false">
      <c r="A12" s="3" t="s">
        <v>19</v>
      </c>
      <c r="B12" s="4" t="s">
        <v>20</v>
      </c>
    </row>
    <row r="13" customFormat="false" ht="16.4" hidden="false" customHeight="false" outlineLevel="0" collapsed="false">
      <c r="A13" s="3" t="s">
        <v>21</v>
      </c>
      <c r="B13" s="4" t="s">
        <v>22</v>
      </c>
    </row>
    <row r="14" customFormat="false" ht="16.4" hidden="false" customHeight="false" outlineLevel="0" collapsed="false">
      <c r="A14" s="3" t="s">
        <v>23</v>
      </c>
      <c r="B14" s="4" t="s">
        <v>24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8"/>
  </cols>
  <sheetData>
    <row r="1" customFormat="false" ht="18.65" hidden="false" customHeight="false" outlineLevel="0" collapsed="false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</row>
    <row r="2" customFormat="false" ht="16.4" hidden="false" customHeight="false" outlineLevel="0" collapsed="false">
      <c r="A2" s="3" t="s">
        <v>32</v>
      </c>
      <c r="B2" s="5" t="n">
        <f aca="false">COUNTIFS(فیچرلیست!$B$2:$B$129,$A2,فیچرلیست!$G$2:$G$129,"MVP")</f>
        <v>31</v>
      </c>
      <c r="C2" s="5" t="n">
        <f aca="false">COUNTIFS(فیچرلیست!$B$2:$B$129,$A2,فیچرلیست!$G$2:$G$129,"P1")</f>
        <v>9</v>
      </c>
      <c r="D2" s="5" t="n">
        <f aca="false">COUNTIFS(فیچرلیست!$B$2:$B$129,$A2,فیچرلیست!$G$2:$G$129,"P2")</f>
        <v>1</v>
      </c>
      <c r="E2" s="6" t="n">
        <f aca="false">SUM(B2:D2)</f>
        <v>41</v>
      </c>
      <c r="F2" s="5" t="n">
        <f aca="false">COUNTIFS(فیچرلیست!$B$2:$B$129,$A2,فیچرلیست!$J$2:$J$129,"پذیرفته‌شده")</f>
        <v>0</v>
      </c>
      <c r="G2" s="7" t="n">
        <f aca="false">IF(E2=0,0,F2/E2)</f>
        <v>0</v>
      </c>
    </row>
    <row r="3" customFormat="false" ht="16.4" hidden="false" customHeight="false" outlineLevel="0" collapsed="false">
      <c r="A3" s="3" t="s">
        <v>33</v>
      </c>
      <c r="B3" s="5" t="n">
        <f aca="false">COUNTIFS(فیچرلیست!$B$2:$B$129,$A3,فیچرلیست!$G$2:$G$129,"MVP")</f>
        <v>8</v>
      </c>
      <c r="C3" s="5" t="n">
        <f aca="false">COUNTIFS(فیچرلیست!$B$2:$B$129,$A3,فیچرلیست!$G$2:$G$129,"P1")</f>
        <v>1</v>
      </c>
      <c r="D3" s="5" t="n">
        <f aca="false">COUNTIFS(فیچرلیست!$B$2:$B$129,$A3,فیچرلیست!$G$2:$G$129,"P2")</f>
        <v>0</v>
      </c>
      <c r="E3" s="6" t="n">
        <f aca="false">SUM(B3:D3)</f>
        <v>9</v>
      </c>
      <c r="F3" s="5" t="n">
        <f aca="false">COUNTIFS(فیچرلیست!$B$2:$B$129,$A3,فیچرلیست!$J$2:$J$129,"پذیرفته‌شده")</f>
        <v>0</v>
      </c>
      <c r="G3" s="7" t="n">
        <f aca="false">IF(E3=0,0,F3/E3)</f>
        <v>0</v>
      </c>
    </row>
    <row r="4" customFormat="false" ht="16.4" hidden="false" customHeight="false" outlineLevel="0" collapsed="false">
      <c r="A4" s="3" t="s">
        <v>34</v>
      </c>
      <c r="B4" s="5" t="n">
        <f aca="false">COUNTIFS(فیچرلیست!$B$2:$B$129,$A4,فیچرلیست!$G$2:$G$129,"MVP")</f>
        <v>0</v>
      </c>
      <c r="C4" s="5" t="n">
        <f aca="false">COUNTIFS(فیچرلیست!$B$2:$B$129,$A4,فیچرلیست!$G$2:$G$129,"P1")</f>
        <v>4</v>
      </c>
      <c r="D4" s="5" t="n">
        <f aca="false">COUNTIFS(فیچرلیست!$B$2:$B$129,$A4,فیچرلیست!$G$2:$G$129,"P2")</f>
        <v>0</v>
      </c>
      <c r="E4" s="6" t="n">
        <f aca="false">SUM(B4:D4)</f>
        <v>4</v>
      </c>
      <c r="F4" s="5" t="n">
        <f aca="false">COUNTIFS(فیچرلیست!$B$2:$B$129,$A4,فیچرلیست!$J$2:$J$129,"پذیرفته‌شده")</f>
        <v>0</v>
      </c>
      <c r="G4" s="7" t="n">
        <f aca="false">IF(E4=0,0,F4/E4)</f>
        <v>0</v>
      </c>
    </row>
    <row r="5" customFormat="false" ht="16.4" hidden="false" customHeight="false" outlineLevel="0" collapsed="false">
      <c r="A5" s="3" t="s">
        <v>35</v>
      </c>
      <c r="B5" s="5" t="n">
        <f aca="false">COUNTIFS(فیچرلیست!$B$2:$B$129,$A5,فیچرلیست!$G$2:$G$129,"MVP")</f>
        <v>7</v>
      </c>
      <c r="C5" s="5" t="n">
        <f aca="false">COUNTIFS(فیچرلیست!$B$2:$B$129,$A5,فیچرلیست!$G$2:$G$129,"P1")</f>
        <v>0</v>
      </c>
      <c r="D5" s="5" t="n">
        <f aca="false">COUNTIFS(فیچرلیست!$B$2:$B$129,$A5,فیچرلیست!$G$2:$G$129,"P2")</f>
        <v>0</v>
      </c>
      <c r="E5" s="6" t="n">
        <f aca="false">SUM(B5:D5)</f>
        <v>7</v>
      </c>
      <c r="F5" s="5" t="n">
        <f aca="false">COUNTIFS(فیچرلیست!$B$2:$B$129,$A5,فیچرلیست!$J$2:$J$129,"پذیرفته‌شده")</f>
        <v>0</v>
      </c>
      <c r="G5" s="7" t="n">
        <f aca="false">IF(E5=0,0,F5/E5)</f>
        <v>0</v>
      </c>
    </row>
    <row r="6" customFormat="false" ht="16.4" hidden="false" customHeight="false" outlineLevel="0" collapsed="false">
      <c r="A6" s="3" t="s">
        <v>36</v>
      </c>
      <c r="B6" s="5" t="n">
        <f aca="false">COUNTIFS(فیچرلیست!$B$2:$B$129,$A6,فیچرلیست!$G$2:$G$129,"MVP")</f>
        <v>6</v>
      </c>
      <c r="C6" s="5" t="n">
        <f aca="false">COUNTIFS(فیچرلیست!$B$2:$B$129,$A6,فیچرلیست!$G$2:$G$129,"P1")</f>
        <v>1</v>
      </c>
      <c r="D6" s="5" t="n">
        <f aca="false">COUNTIFS(فیچرلیست!$B$2:$B$129,$A6,فیچرلیست!$G$2:$G$129,"P2")</f>
        <v>0</v>
      </c>
      <c r="E6" s="6" t="n">
        <f aca="false">SUM(B6:D6)</f>
        <v>7</v>
      </c>
      <c r="F6" s="5" t="n">
        <f aca="false">COUNTIFS(فیچرلیست!$B$2:$B$129,$A6,فیچرلیست!$J$2:$J$129,"پذیرفته‌شده")</f>
        <v>0</v>
      </c>
      <c r="G6" s="7" t="n">
        <f aca="false">IF(E6=0,0,F6/E6)</f>
        <v>0</v>
      </c>
    </row>
    <row r="7" customFormat="false" ht="16.4" hidden="false" customHeight="false" outlineLevel="0" collapsed="false">
      <c r="A7" s="3" t="s">
        <v>37</v>
      </c>
      <c r="B7" s="5" t="n">
        <f aca="false">COUNTIFS(فیچرلیست!$B$2:$B$129,$A7,فیچرلیست!$G$2:$G$129,"MVP")</f>
        <v>0</v>
      </c>
      <c r="C7" s="5" t="n">
        <f aca="false">COUNTIFS(فیچرلیست!$B$2:$B$129,$A7,فیچرلیست!$G$2:$G$129,"P1")</f>
        <v>5</v>
      </c>
      <c r="D7" s="5" t="n">
        <f aca="false">COUNTIFS(فیچرلیست!$B$2:$B$129,$A7,فیچرلیست!$G$2:$G$129,"P2")</f>
        <v>0</v>
      </c>
      <c r="E7" s="6" t="n">
        <f aca="false">SUM(B7:D7)</f>
        <v>5</v>
      </c>
      <c r="F7" s="5" t="n">
        <f aca="false">COUNTIFS(فیچرلیست!$B$2:$B$129,$A7,فیچرلیست!$J$2:$J$129,"پذیرفته‌شده")</f>
        <v>0</v>
      </c>
      <c r="G7" s="7" t="n">
        <f aca="false">IF(E7=0,0,F7/E7)</f>
        <v>0</v>
      </c>
    </row>
    <row r="8" customFormat="false" ht="16.4" hidden="false" customHeight="false" outlineLevel="0" collapsed="false">
      <c r="A8" s="3" t="s">
        <v>38</v>
      </c>
      <c r="B8" s="5" t="n">
        <f aca="false">COUNTIFS(فیچرلیست!$B$2:$B$129,$A8,فیچرلیست!$G$2:$G$129,"MVP")</f>
        <v>0</v>
      </c>
      <c r="C8" s="5" t="n">
        <f aca="false">COUNTIFS(فیچرلیست!$B$2:$B$129,$A8,فیچرلیست!$G$2:$G$129,"P1")</f>
        <v>6</v>
      </c>
      <c r="D8" s="5" t="n">
        <f aca="false">COUNTIFS(فیچرلیست!$B$2:$B$129,$A8,فیچرلیست!$G$2:$G$129,"P2")</f>
        <v>1</v>
      </c>
      <c r="E8" s="6" t="n">
        <f aca="false">SUM(B8:D8)</f>
        <v>7</v>
      </c>
      <c r="F8" s="5" t="n">
        <f aca="false">COUNTIFS(فیچرلیست!$B$2:$B$129,$A8,فیچرلیست!$J$2:$J$129,"پذیرفته‌شده")</f>
        <v>0</v>
      </c>
      <c r="G8" s="7" t="n">
        <f aca="false">IF(E8=0,0,F8/E8)</f>
        <v>0</v>
      </c>
    </row>
    <row r="9" customFormat="false" ht="16.4" hidden="false" customHeight="false" outlineLevel="0" collapsed="false">
      <c r="A9" s="3" t="s">
        <v>39</v>
      </c>
      <c r="B9" s="5" t="n">
        <f aca="false">COUNTIFS(فیچرلیست!$B$2:$B$129,$A9,فیچرلیست!$G$2:$G$129,"MVP")</f>
        <v>0</v>
      </c>
      <c r="C9" s="5" t="n">
        <f aca="false">COUNTIFS(فیچرلیست!$B$2:$B$129,$A9,فیچرلیست!$G$2:$G$129,"P1")</f>
        <v>9</v>
      </c>
      <c r="D9" s="5" t="n">
        <f aca="false">COUNTIFS(فیچرلیست!$B$2:$B$129,$A9,فیچرلیست!$G$2:$G$129,"P2")</f>
        <v>0</v>
      </c>
      <c r="E9" s="6" t="n">
        <f aca="false">SUM(B9:D9)</f>
        <v>9</v>
      </c>
      <c r="F9" s="5" t="n">
        <f aca="false">COUNTIFS(فیچرلیست!$B$2:$B$129,$A9,فیچرلیست!$J$2:$J$129,"پذیرفته‌شده")</f>
        <v>0</v>
      </c>
      <c r="G9" s="7" t="n">
        <f aca="false">IF(E9=0,0,F9/E9)</f>
        <v>0</v>
      </c>
    </row>
    <row r="10" customFormat="false" ht="16.4" hidden="false" customHeight="false" outlineLevel="0" collapsed="false">
      <c r="A10" s="3" t="s">
        <v>40</v>
      </c>
      <c r="B10" s="5" t="n">
        <f aca="false">COUNTIFS(فیچرلیست!$B$2:$B$129,$A10,فیچرلیست!$G$2:$G$129,"MVP")</f>
        <v>0</v>
      </c>
      <c r="C10" s="5" t="n">
        <f aca="false">COUNTIFS(فیچرلیست!$B$2:$B$129,$A10,فیچرلیست!$G$2:$G$129,"P1")</f>
        <v>6</v>
      </c>
      <c r="D10" s="5" t="n">
        <f aca="false">COUNTIFS(فیچرلیست!$B$2:$B$129,$A10,فیچرلیست!$G$2:$G$129,"P2")</f>
        <v>1</v>
      </c>
      <c r="E10" s="6" t="n">
        <f aca="false">SUM(B10:D10)</f>
        <v>7</v>
      </c>
      <c r="F10" s="5" t="n">
        <f aca="false">COUNTIFS(فیچرلیست!$B$2:$B$129,$A10,فیچرلیست!$J$2:$J$129,"پذیرفته‌شده")</f>
        <v>0</v>
      </c>
      <c r="G10" s="7" t="n">
        <f aca="false">IF(E10=0,0,F10/E10)</f>
        <v>0</v>
      </c>
    </row>
    <row r="11" customFormat="false" ht="16.4" hidden="false" customHeight="false" outlineLevel="0" collapsed="false">
      <c r="A11" s="3" t="s">
        <v>41</v>
      </c>
      <c r="B11" s="5" t="n">
        <f aca="false">COUNTIFS(فیچرلیست!$B$2:$B$129,$A11,فیچرلیست!$G$2:$G$129,"MVP")</f>
        <v>0</v>
      </c>
      <c r="C11" s="5" t="n">
        <f aca="false">COUNTIFS(فیچرلیست!$B$2:$B$129,$A11,فیچرلیست!$G$2:$G$129,"P1")</f>
        <v>5</v>
      </c>
      <c r="D11" s="5" t="n">
        <f aca="false">COUNTIFS(فیچرلیست!$B$2:$B$129,$A11,فیچرلیست!$G$2:$G$129,"P2")</f>
        <v>1</v>
      </c>
      <c r="E11" s="6" t="n">
        <f aca="false">SUM(B11:D11)</f>
        <v>6</v>
      </c>
      <c r="F11" s="5" t="n">
        <f aca="false">COUNTIFS(فیچرلیست!$B$2:$B$129,$A11,فیچرلیست!$J$2:$J$129,"پذیرفته‌شده")</f>
        <v>0</v>
      </c>
      <c r="G11" s="7" t="n">
        <f aca="false">IF(E11=0,0,F11/E11)</f>
        <v>0</v>
      </c>
    </row>
    <row r="12" customFormat="false" ht="16.4" hidden="false" customHeight="false" outlineLevel="0" collapsed="false">
      <c r="A12" s="3" t="s">
        <v>42</v>
      </c>
      <c r="B12" s="5" t="n">
        <f aca="false">COUNTIFS(فیچرلیست!$B$2:$B$129,$A12,فیچرلیست!$G$2:$G$129,"MVP")</f>
        <v>0</v>
      </c>
      <c r="C12" s="5" t="n">
        <f aca="false">COUNTIFS(فیچرلیست!$B$2:$B$129,$A12,فیچرلیست!$G$2:$G$129,"P1")</f>
        <v>2</v>
      </c>
      <c r="D12" s="5" t="n">
        <f aca="false">COUNTIFS(فیچرلیست!$B$2:$B$129,$A12,فیچرلیست!$G$2:$G$129,"P2")</f>
        <v>0</v>
      </c>
      <c r="E12" s="6" t="n">
        <f aca="false">SUM(B12:D12)</f>
        <v>2</v>
      </c>
      <c r="F12" s="5" t="n">
        <f aca="false">COUNTIFS(فیچرلیست!$B$2:$B$129,$A12,فیچرلیست!$J$2:$J$129,"پذیرفته‌شده")</f>
        <v>0</v>
      </c>
      <c r="G12" s="7" t="n">
        <f aca="false">IF(E12=0,0,F12/E12)</f>
        <v>0</v>
      </c>
    </row>
    <row r="13" customFormat="false" ht="16.4" hidden="false" customHeight="false" outlineLevel="0" collapsed="false">
      <c r="A13" s="3" t="s">
        <v>43</v>
      </c>
      <c r="B13" s="5" t="n">
        <f aca="false">COUNTIFS(فیچرلیست!$B$2:$B$129,$A13,فیچرلیست!$G$2:$G$129,"MVP")</f>
        <v>0</v>
      </c>
      <c r="C13" s="5" t="n">
        <f aca="false">COUNTIFS(فیچرلیست!$B$2:$B$129,$A13,فیچرلیست!$G$2:$G$129,"P1")</f>
        <v>0</v>
      </c>
      <c r="D13" s="5" t="n">
        <f aca="false">COUNTIFS(فیچرلیست!$B$2:$B$129,$A13,فیچرلیست!$G$2:$G$129,"P2")</f>
        <v>4</v>
      </c>
      <c r="E13" s="6" t="n">
        <f aca="false">SUM(B13:D13)</f>
        <v>4</v>
      </c>
      <c r="F13" s="5" t="n">
        <f aca="false">COUNTIFS(فیچرلیست!$B$2:$B$129,$A13,فیچرلیست!$J$2:$J$129,"پذیرفته‌شده")</f>
        <v>0</v>
      </c>
      <c r="G13" s="7" t="n">
        <f aca="false">IF(E13=0,0,F13/E13)</f>
        <v>0</v>
      </c>
    </row>
    <row r="14" customFormat="false" ht="16.4" hidden="false" customHeight="false" outlineLevel="0" collapsed="false">
      <c r="A14" s="3" t="s">
        <v>44</v>
      </c>
      <c r="B14" s="5" t="n">
        <f aca="false">COUNTIFS(فیچرلیست!$B$2:$B$129,$A14,فیچرلیست!$G$2:$G$129,"MVP")</f>
        <v>0</v>
      </c>
      <c r="C14" s="5" t="n">
        <f aca="false">COUNTIFS(فیچرلیست!$B$2:$B$129,$A14,فیچرلیست!$G$2:$G$129,"P1")</f>
        <v>0</v>
      </c>
      <c r="D14" s="5" t="n">
        <f aca="false">COUNTIFS(فیچرلیست!$B$2:$B$129,$A14,فیچرلیست!$G$2:$G$129,"P2")</f>
        <v>4</v>
      </c>
      <c r="E14" s="6" t="n">
        <f aca="false">SUM(B14:D14)</f>
        <v>4</v>
      </c>
      <c r="F14" s="5" t="n">
        <f aca="false">COUNTIFS(فیچرلیست!$B$2:$B$129,$A14,فیچرلیست!$J$2:$J$129,"پذیرفته‌شده")</f>
        <v>0</v>
      </c>
      <c r="G14" s="7" t="n">
        <f aca="false">IF(E14=0,0,F14/E14)</f>
        <v>0</v>
      </c>
    </row>
    <row r="15" customFormat="false" ht="16.4" hidden="false" customHeight="false" outlineLevel="0" collapsed="false">
      <c r="A15" s="3" t="s">
        <v>45</v>
      </c>
      <c r="B15" s="5" t="n">
        <f aca="false">COUNTIFS(فیچرلیست!$B$2:$B$129,$A15,فیچرلیست!$G$2:$G$129,"MVP")</f>
        <v>0</v>
      </c>
      <c r="C15" s="5" t="n">
        <f aca="false">COUNTIFS(فیچرلیست!$B$2:$B$129,$A15,فیچرلیست!$G$2:$G$129,"P1")</f>
        <v>0</v>
      </c>
      <c r="D15" s="5" t="n">
        <f aca="false">COUNTIFS(فیچرلیست!$B$2:$B$129,$A15,فیچرلیست!$G$2:$G$129,"P2")</f>
        <v>6</v>
      </c>
      <c r="E15" s="6" t="n">
        <f aca="false">SUM(B15:D15)</f>
        <v>6</v>
      </c>
      <c r="F15" s="5" t="n">
        <f aca="false">COUNTIFS(فیچرلیست!$B$2:$B$129,$A15,فیچرلیست!$J$2:$J$129,"پذیرفته‌شده")</f>
        <v>0</v>
      </c>
      <c r="G15" s="7" t="n">
        <f aca="false">IF(E15=0,0,F15/E15)</f>
        <v>0</v>
      </c>
    </row>
    <row r="16" customFormat="false" ht="16.4" hidden="false" customHeight="false" outlineLevel="0" collapsed="false">
      <c r="A16" s="3" t="s">
        <v>46</v>
      </c>
      <c r="B16" s="5" t="n">
        <f aca="false">COUNTIFS(فیچرلیست!$B$2:$B$129,$A16,فیچرلیست!$G$2:$G$129,"MVP")</f>
        <v>8</v>
      </c>
      <c r="C16" s="5" t="n">
        <f aca="false">COUNTIFS(فیچرلیست!$B$2:$B$129,$A16,فیچرلیست!$G$2:$G$129,"P1")</f>
        <v>2</v>
      </c>
      <c r="D16" s="5" t="n">
        <f aca="false">COUNTIFS(فیچرلیست!$B$2:$B$129,$A16,فیچرلیست!$G$2:$G$129,"P2")</f>
        <v>0</v>
      </c>
      <c r="E16" s="6" t="n">
        <f aca="false">SUM(B16:D16)</f>
        <v>10</v>
      </c>
      <c r="F16" s="5" t="n">
        <f aca="false">COUNTIFS(فیچرلیست!$B$2:$B$129,$A16,فیچرلیست!$J$2:$J$129,"پذیرفته‌شده")</f>
        <v>0</v>
      </c>
      <c r="G16" s="7" t="n">
        <f aca="false">IF(E16=0,0,F16/E16)</f>
        <v>0</v>
      </c>
    </row>
    <row r="17" customFormat="false" ht="16.4" hidden="false" customHeight="false" outlineLevel="0" collapsed="false">
      <c r="A17" s="8" t="s">
        <v>47</v>
      </c>
      <c r="B17" s="9" t="n">
        <f aca="false">SUM(B2:B16)</f>
        <v>60</v>
      </c>
      <c r="C17" s="9" t="n">
        <f aca="false">SUM(C2:C16)</f>
        <v>50</v>
      </c>
      <c r="D17" s="9" t="n">
        <f aca="false">SUM(D2:D16)</f>
        <v>18</v>
      </c>
      <c r="E17" s="9" t="n">
        <f aca="false">SUM(E2:E16)</f>
        <v>128</v>
      </c>
      <c r="F17" s="9" t="n">
        <f aca="false">SUM(F2:F16)</f>
        <v>0</v>
      </c>
      <c r="G17" s="10" t="n">
        <f aca="false">IF(E17=0,0,F17/E17)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60"/>
    <col collapsed="false" customWidth="true" hidden="false" outlineLevel="0" max="6" min="6" style="0" width="4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28"/>
  </cols>
  <sheetData>
    <row r="1" customFormat="false" ht="18.65" hidden="false" customHeight="false" outlineLevel="0" collapsed="false">
      <c r="A1" s="2" t="s">
        <v>3</v>
      </c>
      <c r="B1" s="2" t="s">
        <v>25</v>
      </c>
      <c r="C1" s="2" t="s">
        <v>48</v>
      </c>
      <c r="D1" s="2" t="s">
        <v>49</v>
      </c>
      <c r="E1" s="2" t="s">
        <v>50</v>
      </c>
      <c r="F1" s="2" t="s">
        <v>7</v>
      </c>
      <c r="G1" s="2" t="s">
        <v>51</v>
      </c>
      <c r="H1" s="2" t="s">
        <v>15</v>
      </c>
      <c r="I1" s="2" t="s">
        <v>17</v>
      </c>
      <c r="J1" s="2" t="s">
        <v>19</v>
      </c>
      <c r="K1" s="2" t="s">
        <v>52</v>
      </c>
    </row>
    <row r="2" customFormat="false" ht="61.15" hidden="false" customHeight="false" outlineLevel="0" collapsed="false">
      <c r="A2" s="6" t="s">
        <v>53</v>
      </c>
      <c r="B2" s="4" t="s">
        <v>32</v>
      </c>
      <c r="C2" s="4" t="s">
        <v>54</v>
      </c>
      <c r="D2" s="11" t="s">
        <v>55</v>
      </c>
      <c r="E2" s="4" t="s">
        <v>56</v>
      </c>
      <c r="F2" s="4" t="s">
        <v>57</v>
      </c>
      <c r="G2" s="12" t="s">
        <v>26</v>
      </c>
      <c r="H2" s="6" t="s">
        <v>58</v>
      </c>
      <c r="I2" s="4"/>
      <c r="J2" s="13" t="s">
        <v>59</v>
      </c>
      <c r="K2" s="13"/>
    </row>
    <row r="3" customFormat="false" ht="46.25" hidden="false" customHeight="false" outlineLevel="0" collapsed="false">
      <c r="A3" s="6" t="s">
        <v>60</v>
      </c>
      <c r="B3" s="4" t="s">
        <v>32</v>
      </c>
      <c r="C3" s="4" t="s">
        <v>54</v>
      </c>
      <c r="D3" s="11" t="s">
        <v>61</v>
      </c>
      <c r="E3" s="4" t="s">
        <v>62</v>
      </c>
      <c r="F3" s="4" t="s">
        <v>63</v>
      </c>
      <c r="G3" s="12" t="s">
        <v>26</v>
      </c>
      <c r="H3" s="6" t="s">
        <v>64</v>
      </c>
      <c r="I3" s="4" t="s">
        <v>53</v>
      </c>
      <c r="J3" s="13" t="s">
        <v>59</v>
      </c>
      <c r="K3" s="13"/>
    </row>
    <row r="4" customFormat="false" ht="46.25" hidden="false" customHeight="false" outlineLevel="0" collapsed="false">
      <c r="A4" s="6" t="s">
        <v>65</v>
      </c>
      <c r="B4" s="4" t="s">
        <v>32</v>
      </c>
      <c r="C4" s="4" t="s">
        <v>54</v>
      </c>
      <c r="D4" s="11" t="s">
        <v>66</v>
      </c>
      <c r="E4" s="4" t="s">
        <v>67</v>
      </c>
      <c r="F4" s="4" t="s">
        <v>68</v>
      </c>
      <c r="G4" s="12" t="s">
        <v>26</v>
      </c>
      <c r="H4" s="6" t="s">
        <v>64</v>
      </c>
      <c r="I4" s="4" t="s">
        <v>53</v>
      </c>
      <c r="J4" s="13" t="s">
        <v>59</v>
      </c>
      <c r="K4" s="13"/>
    </row>
    <row r="5" customFormat="false" ht="31.3" hidden="false" customHeight="false" outlineLevel="0" collapsed="false">
      <c r="A5" s="6" t="s">
        <v>69</v>
      </c>
      <c r="B5" s="4" t="s">
        <v>32</v>
      </c>
      <c r="C5" s="4" t="s">
        <v>54</v>
      </c>
      <c r="D5" s="11" t="s">
        <v>70</v>
      </c>
      <c r="E5" s="4" t="s">
        <v>71</v>
      </c>
      <c r="F5" s="4" t="s">
        <v>72</v>
      </c>
      <c r="G5" s="14" t="s">
        <v>27</v>
      </c>
      <c r="H5" s="6" t="s">
        <v>73</v>
      </c>
      <c r="I5" s="4" t="s">
        <v>53</v>
      </c>
      <c r="J5" s="13" t="s">
        <v>59</v>
      </c>
      <c r="K5" s="13"/>
    </row>
    <row r="6" customFormat="false" ht="31.3" hidden="false" customHeight="false" outlineLevel="0" collapsed="false">
      <c r="A6" s="6" t="s">
        <v>74</v>
      </c>
      <c r="B6" s="4" t="s">
        <v>32</v>
      </c>
      <c r="C6" s="4" t="s">
        <v>54</v>
      </c>
      <c r="D6" s="11" t="s">
        <v>75</v>
      </c>
      <c r="E6" s="4" t="s">
        <v>76</v>
      </c>
      <c r="F6" s="4" t="s">
        <v>77</v>
      </c>
      <c r="G6" s="12" t="s">
        <v>26</v>
      </c>
      <c r="H6" s="6" t="s">
        <v>64</v>
      </c>
      <c r="I6" s="4" t="s">
        <v>53</v>
      </c>
      <c r="J6" s="13" t="s">
        <v>59</v>
      </c>
      <c r="K6" s="13"/>
    </row>
    <row r="7" customFormat="false" ht="46.25" hidden="false" customHeight="false" outlineLevel="0" collapsed="false">
      <c r="A7" s="6" t="s">
        <v>78</v>
      </c>
      <c r="B7" s="4" t="s">
        <v>32</v>
      </c>
      <c r="C7" s="4" t="s">
        <v>54</v>
      </c>
      <c r="D7" s="11" t="s">
        <v>79</v>
      </c>
      <c r="E7" s="4" t="s">
        <v>80</v>
      </c>
      <c r="F7" s="4" t="s">
        <v>81</v>
      </c>
      <c r="G7" s="12" t="s">
        <v>26</v>
      </c>
      <c r="H7" s="6" t="s">
        <v>82</v>
      </c>
      <c r="I7" s="4" t="s">
        <v>53</v>
      </c>
      <c r="J7" s="13" t="s">
        <v>59</v>
      </c>
      <c r="K7" s="13"/>
    </row>
    <row r="8" customFormat="false" ht="46.25" hidden="false" customHeight="false" outlineLevel="0" collapsed="false">
      <c r="A8" s="6" t="s">
        <v>83</v>
      </c>
      <c r="B8" s="4" t="s">
        <v>32</v>
      </c>
      <c r="C8" s="4" t="s">
        <v>54</v>
      </c>
      <c r="D8" s="11" t="s">
        <v>84</v>
      </c>
      <c r="E8" s="4" t="s">
        <v>85</v>
      </c>
      <c r="F8" s="4" t="s">
        <v>86</v>
      </c>
      <c r="G8" s="12" t="s">
        <v>26</v>
      </c>
      <c r="H8" s="6" t="s">
        <v>82</v>
      </c>
      <c r="I8" s="4" t="s">
        <v>53</v>
      </c>
      <c r="J8" s="13" t="s">
        <v>59</v>
      </c>
      <c r="K8" s="13"/>
    </row>
    <row r="9" customFormat="false" ht="31.3" hidden="false" customHeight="false" outlineLevel="0" collapsed="false">
      <c r="A9" s="6" t="s">
        <v>87</v>
      </c>
      <c r="B9" s="4" t="s">
        <v>32</v>
      </c>
      <c r="C9" s="4" t="s">
        <v>54</v>
      </c>
      <c r="D9" s="11" t="s">
        <v>88</v>
      </c>
      <c r="E9" s="4" t="s">
        <v>89</v>
      </c>
      <c r="F9" s="4" t="s">
        <v>90</v>
      </c>
      <c r="G9" s="12" t="s">
        <v>26</v>
      </c>
      <c r="H9" s="6" t="s">
        <v>58</v>
      </c>
      <c r="I9" s="4" t="s">
        <v>53</v>
      </c>
      <c r="J9" s="13" t="s">
        <v>59</v>
      </c>
      <c r="K9" s="13"/>
    </row>
    <row r="10" customFormat="false" ht="31.3" hidden="false" customHeight="false" outlineLevel="0" collapsed="false">
      <c r="A10" s="6" t="s">
        <v>91</v>
      </c>
      <c r="B10" s="4" t="s">
        <v>32</v>
      </c>
      <c r="C10" s="4" t="s">
        <v>54</v>
      </c>
      <c r="D10" s="11" t="s">
        <v>92</v>
      </c>
      <c r="E10" s="4" t="s">
        <v>93</v>
      </c>
      <c r="F10" s="4" t="s">
        <v>94</v>
      </c>
      <c r="G10" s="14" t="s">
        <v>27</v>
      </c>
      <c r="H10" s="6" t="s">
        <v>73</v>
      </c>
      <c r="I10" s="4" t="s">
        <v>60</v>
      </c>
      <c r="J10" s="13" t="s">
        <v>59</v>
      </c>
      <c r="K10" s="13"/>
    </row>
    <row r="11" customFormat="false" ht="16.4" hidden="false" customHeight="false" outlineLevel="0" collapsed="false">
      <c r="A11" s="6" t="s">
        <v>95</v>
      </c>
      <c r="B11" s="4" t="s">
        <v>32</v>
      </c>
      <c r="C11" s="4" t="s">
        <v>54</v>
      </c>
      <c r="D11" s="11" t="s">
        <v>96</v>
      </c>
      <c r="E11" s="4" t="s">
        <v>97</v>
      </c>
      <c r="F11" s="4" t="s">
        <v>98</v>
      </c>
      <c r="G11" s="15" t="s">
        <v>28</v>
      </c>
      <c r="H11" s="6" t="s">
        <v>73</v>
      </c>
      <c r="I11" s="4" t="s">
        <v>53</v>
      </c>
      <c r="J11" s="13" t="s">
        <v>59</v>
      </c>
      <c r="K11" s="13"/>
    </row>
    <row r="12" customFormat="false" ht="31.3" hidden="false" customHeight="false" outlineLevel="0" collapsed="false">
      <c r="A12" s="6" t="s">
        <v>99</v>
      </c>
      <c r="B12" s="4" t="s">
        <v>32</v>
      </c>
      <c r="C12" s="4" t="s">
        <v>54</v>
      </c>
      <c r="D12" s="11" t="s">
        <v>100</v>
      </c>
      <c r="E12" s="4" t="s">
        <v>101</v>
      </c>
      <c r="F12" s="4" t="s">
        <v>102</v>
      </c>
      <c r="G12" s="14" t="s">
        <v>27</v>
      </c>
      <c r="H12" s="6" t="s">
        <v>73</v>
      </c>
      <c r="I12" s="4" t="s">
        <v>69</v>
      </c>
      <c r="J12" s="13" t="s">
        <v>59</v>
      </c>
      <c r="K12" s="13"/>
    </row>
    <row r="13" customFormat="false" ht="46.25" hidden="false" customHeight="false" outlineLevel="0" collapsed="false">
      <c r="A13" s="6" t="s">
        <v>103</v>
      </c>
      <c r="B13" s="4" t="s">
        <v>32</v>
      </c>
      <c r="C13" s="4" t="s">
        <v>54</v>
      </c>
      <c r="D13" s="11" t="s">
        <v>104</v>
      </c>
      <c r="E13" s="4" t="s">
        <v>105</v>
      </c>
      <c r="F13" s="4" t="s">
        <v>106</v>
      </c>
      <c r="G13" s="12" t="s">
        <v>26</v>
      </c>
      <c r="H13" s="6" t="s">
        <v>107</v>
      </c>
      <c r="I13" s="4"/>
      <c r="J13" s="13" t="s">
        <v>59</v>
      </c>
      <c r="K13" s="13"/>
    </row>
    <row r="14" customFormat="false" ht="31.3" hidden="false" customHeight="false" outlineLevel="0" collapsed="false">
      <c r="A14" s="6" t="s">
        <v>108</v>
      </c>
      <c r="B14" s="4" t="s">
        <v>32</v>
      </c>
      <c r="C14" s="4" t="s">
        <v>109</v>
      </c>
      <c r="D14" s="11" t="s">
        <v>110</v>
      </c>
      <c r="E14" s="4" t="s">
        <v>111</v>
      </c>
      <c r="F14" s="4" t="s">
        <v>112</v>
      </c>
      <c r="G14" s="12" t="s">
        <v>26</v>
      </c>
      <c r="H14" s="6" t="s">
        <v>113</v>
      </c>
      <c r="I14" s="4"/>
      <c r="J14" s="13" t="s">
        <v>59</v>
      </c>
      <c r="K14" s="13"/>
    </row>
    <row r="15" customFormat="false" ht="31.3" hidden="false" customHeight="false" outlineLevel="0" collapsed="false">
      <c r="A15" s="6" t="s">
        <v>114</v>
      </c>
      <c r="B15" s="4" t="s">
        <v>32</v>
      </c>
      <c r="C15" s="4" t="s">
        <v>109</v>
      </c>
      <c r="D15" s="11" t="s">
        <v>115</v>
      </c>
      <c r="E15" s="4" t="s">
        <v>116</v>
      </c>
      <c r="F15" s="4" t="s">
        <v>117</v>
      </c>
      <c r="G15" s="14" t="s">
        <v>27</v>
      </c>
      <c r="H15" s="6" t="s">
        <v>73</v>
      </c>
      <c r="I15" s="4" t="s">
        <v>118</v>
      </c>
      <c r="J15" s="13" t="s">
        <v>59</v>
      </c>
      <c r="K15" s="13"/>
    </row>
    <row r="16" customFormat="false" ht="31.3" hidden="false" customHeight="false" outlineLevel="0" collapsed="false">
      <c r="A16" s="6" t="s">
        <v>119</v>
      </c>
      <c r="B16" s="4" t="s">
        <v>32</v>
      </c>
      <c r="C16" s="4" t="s">
        <v>109</v>
      </c>
      <c r="D16" s="11" t="s">
        <v>120</v>
      </c>
      <c r="E16" s="4" t="s">
        <v>121</v>
      </c>
      <c r="F16" s="4" t="s">
        <v>122</v>
      </c>
      <c r="G16" s="12" t="s">
        <v>26</v>
      </c>
      <c r="H16" s="6" t="s">
        <v>113</v>
      </c>
      <c r="I16" s="4" t="s">
        <v>108</v>
      </c>
      <c r="J16" s="13" t="s">
        <v>59</v>
      </c>
      <c r="K16" s="13"/>
    </row>
    <row r="17" customFormat="false" ht="31.3" hidden="false" customHeight="false" outlineLevel="0" collapsed="false">
      <c r="A17" s="6" t="s">
        <v>123</v>
      </c>
      <c r="B17" s="4" t="s">
        <v>32</v>
      </c>
      <c r="C17" s="4" t="s">
        <v>109</v>
      </c>
      <c r="D17" s="11" t="s">
        <v>124</v>
      </c>
      <c r="E17" s="4" t="s">
        <v>125</v>
      </c>
      <c r="F17" s="4" t="s">
        <v>126</v>
      </c>
      <c r="G17" s="12" t="s">
        <v>26</v>
      </c>
      <c r="H17" s="6" t="s">
        <v>113</v>
      </c>
      <c r="I17" s="4" t="s">
        <v>108</v>
      </c>
      <c r="J17" s="13" t="s">
        <v>59</v>
      </c>
      <c r="K17" s="13"/>
    </row>
    <row r="18" customFormat="false" ht="46.25" hidden="false" customHeight="false" outlineLevel="0" collapsed="false">
      <c r="A18" s="6" t="s">
        <v>127</v>
      </c>
      <c r="B18" s="4" t="s">
        <v>32</v>
      </c>
      <c r="C18" s="4" t="s">
        <v>128</v>
      </c>
      <c r="D18" s="11" t="s">
        <v>129</v>
      </c>
      <c r="E18" s="4" t="s">
        <v>130</v>
      </c>
      <c r="F18" s="4" t="s">
        <v>131</v>
      </c>
      <c r="G18" s="12" t="s">
        <v>26</v>
      </c>
      <c r="H18" s="6" t="s">
        <v>132</v>
      </c>
      <c r="I18" s="4" t="s">
        <v>133</v>
      </c>
      <c r="J18" s="13" t="s">
        <v>59</v>
      </c>
      <c r="K18" s="13"/>
    </row>
    <row r="19" customFormat="false" ht="31.3" hidden="false" customHeight="false" outlineLevel="0" collapsed="false">
      <c r="A19" s="6" t="s">
        <v>134</v>
      </c>
      <c r="B19" s="4" t="s">
        <v>32</v>
      </c>
      <c r="C19" s="4" t="s">
        <v>128</v>
      </c>
      <c r="D19" s="11" t="s">
        <v>135</v>
      </c>
      <c r="E19" s="4" t="s">
        <v>136</v>
      </c>
      <c r="F19" s="4" t="s">
        <v>137</v>
      </c>
      <c r="G19" s="12" t="s">
        <v>26</v>
      </c>
      <c r="H19" s="6" t="s">
        <v>132</v>
      </c>
      <c r="I19" s="4" t="s">
        <v>127</v>
      </c>
      <c r="J19" s="13" t="s">
        <v>59</v>
      </c>
      <c r="K19" s="13"/>
    </row>
    <row r="20" customFormat="false" ht="16.4" hidden="false" customHeight="false" outlineLevel="0" collapsed="false">
      <c r="A20" s="6" t="s">
        <v>138</v>
      </c>
      <c r="B20" s="4" t="s">
        <v>32</v>
      </c>
      <c r="C20" s="4" t="s">
        <v>128</v>
      </c>
      <c r="D20" s="11" t="s">
        <v>139</v>
      </c>
      <c r="E20" s="4" t="s">
        <v>140</v>
      </c>
      <c r="F20" s="4" t="s">
        <v>141</v>
      </c>
      <c r="G20" s="14" t="s">
        <v>27</v>
      </c>
      <c r="H20" s="6" t="s">
        <v>73</v>
      </c>
      <c r="I20" s="4" t="s">
        <v>134</v>
      </c>
      <c r="J20" s="13" t="s">
        <v>59</v>
      </c>
      <c r="K20" s="13"/>
    </row>
    <row r="21" customFormat="false" ht="31.3" hidden="false" customHeight="false" outlineLevel="0" collapsed="false">
      <c r="A21" s="6" t="s">
        <v>142</v>
      </c>
      <c r="B21" s="4" t="s">
        <v>32</v>
      </c>
      <c r="C21" s="4" t="s">
        <v>128</v>
      </c>
      <c r="D21" s="11" t="s">
        <v>143</v>
      </c>
      <c r="E21" s="4" t="s">
        <v>144</v>
      </c>
      <c r="F21" s="4" t="s">
        <v>145</v>
      </c>
      <c r="G21" s="12" t="s">
        <v>26</v>
      </c>
      <c r="H21" s="6" t="s">
        <v>132</v>
      </c>
      <c r="I21" s="4" t="s">
        <v>127</v>
      </c>
      <c r="J21" s="13" t="s">
        <v>59</v>
      </c>
      <c r="K21" s="13"/>
    </row>
    <row r="22" customFormat="false" ht="31.3" hidden="false" customHeight="false" outlineLevel="0" collapsed="false">
      <c r="A22" s="6" t="s">
        <v>146</v>
      </c>
      <c r="B22" s="4" t="s">
        <v>32</v>
      </c>
      <c r="C22" s="4" t="s">
        <v>128</v>
      </c>
      <c r="D22" s="11" t="s">
        <v>147</v>
      </c>
      <c r="E22" s="4" t="s">
        <v>148</v>
      </c>
      <c r="F22" s="4" t="s">
        <v>149</v>
      </c>
      <c r="G22" s="14" t="s">
        <v>27</v>
      </c>
      <c r="H22" s="6" t="s">
        <v>73</v>
      </c>
      <c r="I22" s="4" t="s">
        <v>142</v>
      </c>
      <c r="J22" s="13" t="s">
        <v>59</v>
      </c>
      <c r="K22" s="13"/>
    </row>
    <row r="23" customFormat="false" ht="16.4" hidden="false" customHeight="false" outlineLevel="0" collapsed="false">
      <c r="A23" s="6" t="s">
        <v>150</v>
      </c>
      <c r="B23" s="4" t="s">
        <v>32</v>
      </c>
      <c r="C23" s="4" t="s">
        <v>128</v>
      </c>
      <c r="D23" s="11" t="s">
        <v>151</v>
      </c>
      <c r="E23" s="4" t="s">
        <v>152</v>
      </c>
      <c r="F23" s="4" t="s">
        <v>153</v>
      </c>
      <c r="G23" s="14" t="s">
        <v>27</v>
      </c>
      <c r="H23" s="6" t="s">
        <v>73</v>
      </c>
      <c r="I23" s="4" t="s">
        <v>127</v>
      </c>
      <c r="J23" s="13" t="s">
        <v>59</v>
      </c>
      <c r="K23" s="13"/>
    </row>
    <row r="24" customFormat="false" ht="31.3" hidden="false" customHeight="false" outlineLevel="0" collapsed="false">
      <c r="A24" s="6" t="s">
        <v>154</v>
      </c>
      <c r="B24" s="4" t="s">
        <v>32</v>
      </c>
      <c r="C24" s="4" t="s">
        <v>128</v>
      </c>
      <c r="D24" s="11" t="s">
        <v>155</v>
      </c>
      <c r="E24" s="4" t="s">
        <v>156</v>
      </c>
      <c r="F24" s="4" t="s">
        <v>157</v>
      </c>
      <c r="G24" s="12" t="s">
        <v>26</v>
      </c>
      <c r="H24" s="6" t="s">
        <v>158</v>
      </c>
      <c r="I24" s="4" t="s">
        <v>159</v>
      </c>
      <c r="J24" s="13" t="s">
        <v>59</v>
      </c>
      <c r="K24" s="13"/>
    </row>
    <row r="25" customFormat="false" ht="31.3" hidden="false" customHeight="false" outlineLevel="0" collapsed="false">
      <c r="A25" s="6" t="s">
        <v>160</v>
      </c>
      <c r="B25" s="4" t="s">
        <v>32</v>
      </c>
      <c r="C25" s="4" t="s">
        <v>128</v>
      </c>
      <c r="D25" s="11" t="s">
        <v>161</v>
      </c>
      <c r="E25" s="4" t="s">
        <v>162</v>
      </c>
      <c r="F25" s="4" t="s">
        <v>163</v>
      </c>
      <c r="G25" s="12" t="s">
        <v>26</v>
      </c>
      <c r="H25" s="6" t="s">
        <v>164</v>
      </c>
      <c r="I25" s="4" t="s">
        <v>165</v>
      </c>
      <c r="J25" s="13" t="s">
        <v>59</v>
      </c>
      <c r="K25" s="13"/>
    </row>
    <row r="26" customFormat="false" ht="31.3" hidden="false" customHeight="false" outlineLevel="0" collapsed="false">
      <c r="A26" s="6" t="s">
        <v>166</v>
      </c>
      <c r="B26" s="4" t="s">
        <v>32</v>
      </c>
      <c r="C26" s="4" t="s">
        <v>128</v>
      </c>
      <c r="D26" s="11" t="s">
        <v>167</v>
      </c>
      <c r="E26" s="4" t="s">
        <v>168</v>
      </c>
      <c r="F26" s="4" t="s">
        <v>169</v>
      </c>
      <c r="G26" s="12" t="s">
        <v>26</v>
      </c>
      <c r="H26" s="6" t="s">
        <v>132</v>
      </c>
      <c r="I26" s="4" t="s">
        <v>170</v>
      </c>
      <c r="J26" s="13" t="s">
        <v>59</v>
      </c>
      <c r="K26" s="13"/>
    </row>
    <row r="27" customFormat="false" ht="31.3" hidden="false" customHeight="false" outlineLevel="0" collapsed="false">
      <c r="A27" s="6" t="s">
        <v>171</v>
      </c>
      <c r="B27" s="4" t="s">
        <v>32</v>
      </c>
      <c r="C27" s="4" t="s">
        <v>172</v>
      </c>
      <c r="D27" s="11" t="s">
        <v>173</v>
      </c>
      <c r="E27" s="4" t="s">
        <v>174</v>
      </c>
      <c r="F27" s="4" t="s">
        <v>175</v>
      </c>
      <c r="G27" s="12" t="s">
        <v>26</v>
      </c>
      <c r="H27" s="6" t="s">
        <v>176</v>
      </c>
      <c r="I27" s="4"/>
      <c r="J27" s="13" t="s">
        <v>59</v>
      </c>
      <c r="K27" s="13"/>
    </row>
    <row r="28" customFormat="false" ht="31.3" hidden="false" customHeight="false" outlineLevel="0" collapsed="false">
      <c r="A28" s="6" t="s">
        <v>177</v>
      </c>
      <c r="B28" s="4" t="s">
        <v>32</v>
      </c>
      <c r="C28" s="4" t="s">
        <v>172</v>
      </c>
      <c r="D28" s="11" t="s">
        <v>178</v>
      </c>
      <c r="E28" s="4" t="s">
        <v>179</v>
      </c>
      <c r="F28" s="4" t="s">
        <v>180</v>
      </c>
      <c r="G28" s="12" t="s">
        <v>26</v>
      </c>
      <c r="H28" s="6" t="s">
        <v>176</v>
      </c>
      <c r="I28" s="4" t="s">
        <v>171</v>
      </c>
      <c r="J28" s="13" t="s">
        <v>59</v>
      </c>
      <c r="K28" s="13"/>
    </row>
    <row r="29" customFormat="false" ht="31.3" hidden="false" customHeight="false" outlineLevel="0" collapsed="false">
      <c r="A29" s="6" t="s">
        <v>181</v>
      </c>
      <c r="B29" s="4" t="s">
        <v>32</v>
      </c>
      <c r="C29" s="4" t="s">
        <v>172</v>
      </c>
      <c r="D29" s="11" t="s">
        <v>182</v>
      </c>
      <c r="E29" s="4" t="s">
        <v>183</v>
      </c>
      <c r="F29" s="4" t="s">
        <v>184</v>
      </c>
      <c r="G29" s="12" t="s">
        <v>26</v>
      </c>
      <c r="H29" s="6" t="s">
        <v>176</v>
      </c>
      <c r="I29" s="4" t="s">
        <v>171</v>
      </c>
      <c r="J29" s="13" t="s">
        <v>59</v>
      </c>
      <c r="K29" s="13"/>
    </row>
    <row r="30" customFormat="false" ht="61.15" hidden="false" customHeight="false" outlineLevel="0" collapsed="false">
      <c r="A30" s="6" t="s">
        <v>185</v>
      </c>
      <c r="B30" s="4" t="s">
        <v>32</v>
      </c>
      <c r="C30" s="4" t="s">
        <v>186</v>
      </c>
      <c r="D30" s="11" t="s">
        <v>187</v>
      </c>
      <c r="E30" s="4" t="s">
        <v>188</v>
      </c>
      <c r="F30" s="4" t="s">
        <v>189</v>
      </c>
      <c r="G30" s="12" t="s">
        <v>26</v>
      </c>
      <c r="H30" s="6" t="s">
        <v>190</v>
      </c>
      <c r="I30" s="4" t="s">
        <v>127</v>
      </c>
      <c r="J30" s="13" t="s">
        <v>59</v>
      </c>
      <c r="K30" s="13"/>
    </row>
    <row r="31" customFormat="false" ht="31.3" hidden="false" customHeight="false" outlineLevel="0" collapsed="false">
      <c r="A31" s="6" t="s">
        <v>191</v>
      </c>
      <c r="B31" s="4" t="s">
        <v>32</v>
      </c>
      <c r="C31" s="4" t="s">
        <v>186</v>
      </c>
      <c r="D31" s="11" t="s">
        <v>192</v>
      </c>
      <c r="E31" s="4" t="s">
        <v>193</v>
      </c>
      <c r="F31" s="4" t="s">
        <v>194</v>
      </c>
      <c r="G31" s="12" t="s">
        <v>26</v>
      </c>
      <c r="H31" s="6" t="s">
        <v>190</v>
      </c>
      <c r="I31" s="4" t="s">
        <v>185</v>
      </c>
      <c r="J31" s="13" t="s">
        <v>59</v>
      </c>
      <c r="K31" s="13"/>
    </row>
    <row r="32" customFormat="false" ht="31.3" hidden="false" customHeight="false" outlineLevel="0" collapsed="false">
      <c r="A32" s="6" t="s">
        <v>195</v>
      </c>
      <c r="B32" s="4" t="s">
        <v>32</v>
      </c>
      <c r="C32" s="4" t="s">
        <v>186</v>
      </c>
      <c r="D32" s="11" t="s">
        <v>196</v>
      </c>
      <c r="E32" s="4" t="s">
        <v>197</v>
      </c>
      <c r="F32" s="4" t="s">
        <v>198</v>
      </c>
      <c r="G32" s="14" t="s">
        <v>27</v>
      </c>
      <c r="H32" s="6" t="s">
        <v>73</v>
      </c>
      <c r="I32" s="4" t="s">
        <v>127</v>
      </c>
      <c r="J32" s="13" t="s">
        <v>59</v>
      </c>
      <c r="K32" s="13"/>
    </row>
    <row r="33" customFormat="false" ht="16.4" hidden="false" customHeight="false" outlineLevel="0" collapsed="false">
      <c r="A33" s="6" t="s">
        <v>199</v>
      </c>
      <c r="B33" s="4" t="s">
        <v>32</v>
      </c>
      <c r="C33" s="4" t="s">
        <v>186</v>
      </c>
      <c r="D33" s="11" t="s">
        <v>200</v>
      </c>
      <c r="E33" s="4" t="s">
        <v>201</v>
      </c>
      <c r="F33" s="4" t="s">
        <v>202</v>
      </c>
      <c r="G33" s="12" t="s">
        <v>26</v>
      </c>
      <c r="H33" s="6" t="s">
        <v>190</v>
      </c>
      <c r="I33" s="4" t="s">
        <v>185</v>
      </c>
      <c r="J33" s="13" t="s">
        <v>59</v>
      </c>
      <c r="K33" s="13"/>
    </row>
    <row r="34" customFormat="false" ht="61.15" hidden="false" customHeight="false" outlineLevel="0" collapsed="false">
      <c r="A34" s="6" t="s">
        <v>203</v>
      </c>
      <c r="B34" s="4" t="s">
        <v>32</v>
      </c>
      <c r="C34" s="4" t="s">
        <v>54</v>
      </c>
      <c r="D34" s="11" t="s">
        <v>204</v>
      </c>
      <c r="E34" s="4" t="s">
        <v>205</v>
      </c>
      <c r="F34" s="4" t="s">
        <v>206</v>
      </c>
      <c r="G34" s="12" t="s">
        <v>26</v>
      </c>
      <c r="H34" s="6" t="s">
        <v>82</v>
      </c>
      <c r="I34" s="4" t="s">
        <v>207</v>
      </c>
      <c r="J34" s="13" t="s">
        <v>59</v>
      </c>
      <c r="K34" s="13"/>
    </row>
    <row r="35" customFormat="false" ht="46.25" hidden="false" customHeight="false" outlineLevel="0" collapsed="false">
      <c r="A35" s="6" t="s">
        <v>208</v>
      </c>
      <c r="B35" s="4" t="s">
        <v>32</v>
      </c>
      <c r="C35" s="4" t="s">
        <v>209</v>
      </c>
      <c r="D35" s="11" t="s">
        <v>210</v>
      </c>
      <c r="E35" s="4" t="s">
        <v>211</v>
      </c>
      <c r="F35" s="4" t="s">
        <v>212</v>
      </c>
      <c r="G35" s="12" t="s">
        <v>26</v>
      </c>
      <c r="H35" s="6" t="s">
        <v>213</v>
      </c>
      <c r="I35" s="4"/>
      <c r="J35" s="13" t="s">
        <v>59</v>
      </c>
      <c r="K35" s="13"/>
    </row>
    <row r="36" customFormat="false" ht="31.3" hidden="false" customHeight="false" outlineLevel="0" collapsed="false">
      <c r="A36" s="6" t="s">
        <v>214</v>
      </c>
      <c r="B36" s="4" t="s">
        <v>32</v>
      </c>
      <c r="C36" s="4" t="s">
        <v>209</v>
      </c>
      <c r="D36" s="11" t="s">
        <v>215</v>
      </c>
      <c r="E36" s="4" t="s">
        <v>216</v>
      </c>
      <c r="F36" s="4" t="s">
        <v>217</v>
      </c>
      <c r="G36" s="12" t="s">
        <v>26</v>
      </c>
      <c r="H36" s="6" t="s">
        <v>213</v>
      </c>
      <c r="I36" s="4" t="s">
        <v>208</v>
      </c>
      <c r="J36" s="13" t="s">
        <v>59</v>
      </c>
      <c r="K36" s="13"/>
    </row>
    <row r="37" customFormat="false" ht="31.3" hidden="false" customHeight="false" outlineLevel="0" collapsed="false">
      <c r="A37" s="6" t="s">
        <v>218</v>
      </c>
      <c r="B37" s="4" t="s">
        <v>32</v>
      </c>
      <c r="C37" s="4" t="s">
        <v>209</v>
      </c>
      <c r="D37" s="11" t="s">
        <v>219</v>
      </c>
      <c r="E37" s="4" t="s">
        <v>220</v>
      </c>
      <c r="F37" s="4" t="s">
        <v>221</v>
      </c>
      <c r="G37" s="12" t="s">
        <v>26</v>
      </c>
      <c r="H37" s="6" t="s">
        <v>213</v>
      </c>
      <c r="I37" s="4" t="s">
        <v>208</v>
      </c>
      <c r="J37" s="13" t="s">
        <v>59</v>
      </c>
      <c r="K37" s="13"/>
    </row>
    <row r="38" customFormat="false" ht="16.4" hidden="false" customHeight="false" outlineLevel="0" collapsed="false">
      <c r="A38" s="6" t="s">
        <v>222</v>
      </c>
      <c r="B38" s="4" t="s">
        <v>32</v>
      </c>
      <c r="C38" s="4" t="s">
        <v>209</v>
      </c>
      <c r="D38" s="11" t="s">
        <v>223</v>
      </c>
      <c r="E38" s="4" t="s">
        <v>224</v>
      </c>
      <c r="F38" s="4" t="s">
        <v>225</v>
      </c>
      <c r="G38" s="12" t="s">
        <v>26</v>
      </c>
      <c r="H38" s="6" t="s">
        <v>213</v>
      </c>
      <c r="I38" s="4" t="s">
        <v>226</v>
      </c>
      <c r="J38" s="13" t="s">
        <v>59</v>
      </c>
      <c r="K38" s="13"/>
    </row>
    <row r="39" customFormat="false" ht="31.3" hidden="false" customHeight="false" outlineLevel="0" collapsed="false">
      <c r="A39" s="6" t="s">
        <v>227</v>
      </c>
      <c r="B39" s="4" t="s">
        <v>32</v>
      </c>
      <c r="C39" s="4" t="s">
        <v>228</v>
      </c>
      <c r="D39" s="11" t="s">
        <v>229</v>
      </c>
      <c r="E39" s="4" t="s">
        <v>230</v>
      </c>
      <c r="F39" s="4" t="s">
        <v>231</v>
      </c>
      <c r="G39" s="12" t="s">
        <v>26</v>
      </c>
      <c r="H39" s="6" t="s">
        <v>158</v>
      </c>
      <c r="I39" s="4" t="s">
        <v>218</v>
      </c>
      <c r="J39" s="13" t="s">
        <v>59</v>
      </c>
      <c r="K39" s="13"/>
    </row>
    <row r="40" customFormat="false" ht="16.4" hidden="false" customHeight="false" outlineLevel="0" collapsed="false">
      <c r="A40" s="6" t="s">
        <v>232</v>
      </c>
      <c r="B40" s="4" t="s">
        <v>32</v>
      </c>
      <c r="C40" s="4" t="s">
        <v>228</v>
      </c>
      <c r="D40" s="11" t="s">
        <v>233</v>
      </c>
      <c r="E40" s="4" t="s">
        <v>234</v>
      </c>
      <c r="F40" s="4" t="s">
        <v>235</v>
      </c>
      <c r="G40" s="12" t="s">
        <v>26</v>
      </c>
      <c r="H40" s="6" t="s">
        <v>158</v>
      </c>
      <c r="I40" s="4"/>
      <c r="J40" s="13" t="s">
        <v>59</v>
      </c>
      <c r="K40" s="13"/>
    </row>
    <row r="41" customFormat="false" ht="31.3" hidden="false" customHeight="false" outlineLevel="0" collapsed="false">
      <c r="A41" s="6" t="s">
        <v>236</v>
      </c>
      <c r="B41" s="4" t="s">
        <v>32</v>
      </c>
      <c r="C41" s="4" t="s">
        <v>237</v>
      </c>
      <c r="D41" s="11" t="s">
        <v>238</v>
      </c>
      <c r="E41" s="4" t="s">
        <v>239</v>
      </c>
      <c r="F41" s="4" t="s">
        <v>240</v>
      </c>
      <c r="G41" s="12" t="s">
        <v>26</v>
      </c>
      <c r="H41" s="6" t="s">
        <v>158</v>
      </c>
      <c r="I41" s="4" t="s">
        <v>108</v>
      </c>
      <c r="J41" s="13" t="s">
        <v>59</v>
      </c>
      <c r="K41" s="13"/>
    </row>
    <row r="42" customFormat="false" ht="16.4" hidden="false" customHeight="false" outlineLevel="0" collapsed="false">
      <c r="A42" s="6" t="s">
        <v>241</v>
      </c>
      <c r="B42" s="4" t="s">
        <v>32</v>
      </c>
      <c r="C42" s="4" t="s">
        <v>237</v>
      </c>
      <c r="D42" s="11" t="s">
        <v>242</v>
      </c>
      <c r="E42" s="4" t="s">
        <v>243</v>
      </c>
      <c r="F42" s="4" t="s">
        <v>244</v>
      </c>
      <c r="G42" s="14" t="s">
        <v>27</v>
      </c>
      <c r="H42" s="6" t="s">
        <v>73</v>
      </c>
      <c r="I42" s="4" t="s">
        <v>245</v>
      </c>
      <c r="J42" s="13" t="s">
        <v>59</v>
      </c>
      <c r="K42" s="13"/>
    </row>
    <row r="43" customFormat="false" ht="46.25" hidden="false" customHeight="false" outlineLevel="0" collapsed="false">
      <c r="A43" s="6" t="s">
        <v>246</v>
      </c>
      <c r="B43" s="4" t="s">
        <v>33</v>
      </c>
      <c r="C43" s="4" t="s">
        <v>247</v>
      </c>
      <c r="D43" s="11" t="s">
        <v>248</v>
      </c>
      <c r="E43" s="4" t="s">
        <v>249</v>
      </c>
      <c r="F43" s="4" t="s">
        <v>250</v>
      </c>
      <c r="G43" s="12" t="s">
        <v>26</v>
      </c>
      <c r="H43" s="6" t="s">
        <v>251</v>
      </c>
      <c r="I43" s="4" t="s">
        <v>252</v>
      </c>
      <c r="J43" s="13" t="s">
        <v>59</v>
      </c>
      <c r="K43" s="13"/>
    </row>
    <row r="44" customFormat="false" ht="31.3" hidden="false" customHeight="false" outlineLevel="0" collapsed="false">
      <c r="A44" s="6" t="s">
        <v>253</v>
      </c>
      <c r="B44" s="4" t="s">
        <v>33</v>
      </c>
      <c r="C44" s="4" t="s">
        <v>247</v>
      </c>
      <c r="D44" s="11" t="s">
        <v>254</v>
      </c>
      <c r="E44" s="4" t="s">
        <v>255</v>
      </c>
      <c r="F44" s="4" t="s">
        <v>256</v>
      </c>
      <c r="G44" s="12" t="s">
        <v>26</v>
      </c>
      <c r="H44" s="6" t="s">
        <v>251</v>
      </c>
      <c r="I44" s="4" t="s">
        <v>252</v>
      </c>
      <c r="J44" s="13" t="s">
        <v>59</v>
      </c>
      <c r="K44" s="13"/>
    </row>
    <row r="45" customFormat="false" ht="31.3" hidden="false" customHeight="false" outlineLevel="0" collapsed="false">
      <c r="A45" s="6" t="s">
        <v>257</v>
      </c>
      <c r="B45" s="4" t="s">
        <v>33</v>
      </c>
      <c r="C45" s="4" t="s">
        <v>247</v>
      </c>
      <c r="D45" s="11" t="s">
        <v>258</v>
      </c>
      <c r="E45" s="4" t="s">
        <v>259</v>
      </c>
      <c r="F45" s="4" t="s">
        <v>260</v>
      </c>
      <c r="G45" s="12" t="s">
        <v>26</v>
      </c>
      <c r="H45" s="6" t="s">
        <v>251</v>
      </c>
      <c r="I45" s="4" t="s">
        <v>134</v>
      </c>
      <c r="J45" s="13" t="s">
        <v>59</v>
      </c>
      <c r="K45" s="13"/>
    </row>
    <row r="46" customFormat="false" ht="31.3" hidden="false" customHeight="false" outlineLevel="0" collapsed="false">
      <c r="A46" s="6" t="s">
        <v>261</v>
      </c>
      <c r="B46" s="4" t="s">
        <v>33</v>
      </c>
      <c r="C46" s="4" t="s">
        <v>262</v>
      </c>
      <c r="D46" s="11" t="s">
        <v>263</v>
      </c>
      <c r="E46" s="4" t="s">
        <v>264</v>
      </c>
      <c r="F46" s="4" t="s">
        <v>265</v>
      </c>
      <c r="G46" s="12" t="s">
        <v>26</v>
      </c>
      <c r="H46" s="6" t="s">
        <v>251</v>
      </c>
      <c r="I46" s="4" t="s">
        <v>127</v>
      </c>
      <c r="J46" s="13" t="s">
        <v>59</v>
      </c>
      <c r="K46" s="13"/>
    </row>
    <row r="47" customFormat="false" ht="31.3" hidden="false" customHeight="false" outlineLevel="0" collapsed="false">
      <c r="A47" s="6" t="s">
        <v>266</v>
      </c>
      <c r="B47" s="4" t="s">
        <v>33</v>
      </c>
      <c r="C47" s="4" t="s">
        <v>247</v>
      </c>
      <c r="D47" s="11" t="s">
        <v>267</v>
      </c>
      <c r="E47" s="4" t="s">
        <v>268</v>
      </c>
      <c r="F47" s="4" t="s">
        <v>269</v>
      </c>
      <c r="G47" s="12" t="s">
        <v>26</v>
      </c>
      <c r="H47" s="6" t="s">
        <v>251</v>
      </c>
      <c r="I47" s="4" t="s">
        <v>270</v>
      </c>
      <c r="J47" s="13" t="s">
        <v>59</v>
      </c>
      <c r="K47" s="13"/>
    </row>
    <row r="48" customFormat="false" ht="31.3" hidden="false" customHeight="false" outlineLevel="0" collapsed="false">
      <c r="A48" s="6" t="s">
        <v>271</v>
      </c>
      <c r="B48" s="4" t="s">
        <v>33</v>
      </c>
      <c r="C48" s="4" t="s">
        <v>186</v>
      </c>
      <c r="D48" s="11" t="s">
        <v>272</v>
      </c>
      <c r="E48" s="4" t="s">
        <v>273</v>
      </c>
      <c r="F48" s="4" t="s">
        <v>274</v>
      </c>
      <c r="G48" s="12" t="s">
        <v>26</v>
      </c>
      <c r="H48" s="6" t="s">
        <v>251</v>
      </c>
      <c r="I48" s="4" t="s">
        <v>266</v>
      </c>
      <c r="J48" s="13" t="s">
        <v>59</v>
      </c>
      <c r="K48" s="13"/>
    </row>
    <row r="49" customFormat="false" ht="31.3" hidden="false" customHeight="false" outlineLevel="0" collapsed="false">
      <c r="A49" s="6" t="s">
        <v>275</v>
      </c>
      <c r="B49" s="4" t="s">
        <v>33</v>
      </c>
      <c r="C49" s="4" t="s">
        <v>276</v>
      </c>
      <c r="D49" s="11" t="s">
        <v>277</v>
      </c>
      <c r="E49" s="4" t="s">
        <v>278</v>
      </c>
      <c r="F49" s="4" t="s">
        <v>279</v>
      </c>
      <c r="G49" s="14" t="s">
        <v>27</v>
      </c>
      <c r="H49" s="6" t="s">
        <v>251</v>
      </c>
      <c r="I49" s="4" t="s">
        <v>53</v>
      </c>
      <c r="J49" s="13" t="s">
        <v>59</v>
      </c>
      <c r="K49" s="13"/>
    </row>
    <row r="50" customFormat="false" ht="31.3" hidden="false" customHeight="false" outlineLevel="0" collapsed="false">
      <c r="A50" s="6" t="s">
        <v>280</v>
      </c>
      <c r="B50" s="4" t="s">
        <v>33</v>
      </c>
      <c r="C50" s="4" t="s">
        <v>228</v>
      </c>
      <c r="D50" s="11" t="s">
        <v>281</v>
      </c>
      <c r="E50" s="4" t="s">
        <v>282</v>
      </c>
      <c r="F50" s="4" t="s">
        <v>283</v>
      </c>
      <c r="G50" s="12" t="s">
        <v>26</v>
      </c>
      <c r="H50" s="6" t="s">
        <v>251</v>
      </c>
      <c r="I50" s="4" t="s">
        <v>284</v>
      </c>
      <c r="J50" s="13" t="s">
        <v>59</v>
      </c>
      <c r="K50" s="13"/>
    </row>
    <row r="51" customFormat="false" ht="31.3" hidden="false" customHeight="false" outlineLevel="0" collapsed="false">
      <c r="A51" s="6" t="s">
        <v>285</v>
      </c>
      <c r="B51" s="4" t="s">
        <v>33</v>
      </c>
      <c r="C51" s="4" t="s">
        <v>247</v>
      </c>
      <c r="D51" s="11" t="s">
        <v>286</v>
      </c>
      <c r="E51" s="4" t="s">
        <v>287</v>
      </c>
      <c r="F51" s="4" t="s">
        <v>288</v>
      </c>
      <c r="G51" s="12" t="s">
        <v>26</v>
      </c>
      <c r="H51" s="6" t="s">
        <v>251</v>
      </c>
      <c r="I51" s="4" t="s">
        <v>280</v>
      </c>
      <c r="J51" s="13" t="s">
        <v>59</v>
      </c>
      <c r="K51" s="13"/>
    </row>
    <row r="52" customFormat="false" ht="31.3" hidden="false" customHeight="false" outlineLevel="0" collapsed="false">
      <c r="A52" s="6" t="s">
        <v>289</v>
      </c>
      <c r="B52" s="4" t="s">
        <v>34</v>
      </c>
      <c r="C52" s="4" t="s">
        <v>290</v>
      </c>
      <c r="D52" s="11" t="s">
        <v>291</v>
      </c>
      <c r="E52" s="4" t="s">
        <v>292</v>
      </c>
      <c r="F52" s="4" t="s">
        <v>293</v>
      </c>
      <c r="G52" s="14" t="s">
        <v>27</v>
      </c>
      <c r="H52" s="6" t="s">
        <v>73</v>
      </c>
      <c r="I52" s="4" t="s">
        <v>83</v>
      </c>
      <c r="J52" s="13" t="s">
        <v>59</v>
      </c>
      <c r="K52" s="13"/>
    </row>
    <row r="53" customFormat="false" ht="16.4" hidden="false" customHeight="false" outlineLevel="0" collapsed="false">
      <c r="A53" s="6" t="s">
        <v>294</v>
      </c>
      <c r="B53" s="4" t="s">
        <v>34</v>
      </c>
      <c r="C53" s="4" t="s">
        <v>290</v>
      </c>
      <c r="D53" s="11" t="s">
        <v>295</v>
      </c>
      <c r="E53" s="4" t="s">
        <v>296</v>
      </c>
      <c r="F53" s="4" t="s">
        <v>297</v>
      </c>
      <c r="G53" s="14" t="s">
        <v>27</v>
      </c>
      <c r="H53" s="6" t="s">
        <v>73</v>
      </c>
      <c r="I53" s="4" t="s">
        <v>289</v>
      </c>
      <c r="J53" s="13" t="s">
        <v>59</v>
      </c>
      <c r="K53" s="13"/>
    </row>
    <row r="54" customFormat="false" ht="31.3" hidden="false" customHeight="false" outlineLevel="0" collapsed="false">
      <c r="A54" s="6" t="s">
        <v>298</v>
      </c>
      <c r="B54" s="4" t="s">
        <v>34</v>
      </c>
      <c r="C54" s="4" t="s">
        <v>290</v>
      </c>
      <c r="D54" s="11" t="s">
        <v>299</v>
      </c>
      <c r="E54" s="4" t="s">
        <v>300</v>
      </c>
      <c r="F54" s="4" t="s">
        <v>301</v>
      </c>
      <c r="G54" s="14" t="s">
        <v>27</v>
      </c>
      <c r="H54" s="6" t="s">
        <v>73</v>
      </c>
      <c r="I54" s="4" t="s">
        <v>294</v>
      </c>
      <c r="J54" s="13" t="s">
        <v>59</v>
      </c>
      <c r="K54" s="13"/>
    </row>
    <row r="55" customFormat="false" ht="31.3" hidden="false" customHeight="false" outlineLevel="0" collapsed="false">
      <c r="A55" s="6" t="s">
        <v>302</v>
      </c>
      <c r="B55" s="4" t="s">
        <v>34</v>
      </c>
      <c r="C55" s="4" t="s">
        <v>290</v>
      </c>
      <c r="D55" s="11" t="s">
        <v>303</v>
      </c>
      <c r="E55" s="4" t="s">
        <v>304</v>
      </c>
      <c r="F55" s="4" t="s">
        <v>305</v>
      </c>
      <c r="G55" s="14" t="s">
        <v>27</v>
      </c>
      <c r="H55" s="6" t="s">
        <v>73</v>
      </c>
      <c r="I55" s="4" t="s">
        <v>306</v>
      </c>
      <c r="J55" s="13" t="s">
        <v>59</v>
      </c>
      <c r="K55" s="13"/>
    </row>
    <row r="56" customFormat="false" ht="31.3" hidden="false" customHeight="false" outlineLevel="0" collapsed="false">
      <c r="A56" s="6" t="s">
        <v>307</v>
      </c>
      <c r="B56" s="4" t="s">
        <v>35</v>
      </c>
      <c r="C56" s="4" t="s">
        <v>172</v>
      </c>
      <c r="D56" s="11" t="s">
        <v>308</v>
      </c>
      <c r="E56" s="4" t="s">
        <v>309</v>
      </c>
      <c r="F56" s="4" t="s">
        <v>310</v>
      </c>
      <c r="G56" s="12" t="s">
        <v>26</v>
      </c>
      <c r="H56" s="6" t="s">
        <v>311</v>
      </c>
      <c r="I56" s="4" t="s">
        <v>312</v>
      </c>
      <c r="J56" s="13" t="s">
        <v>59</v>
      </c>
      <c r="K56" s="13"/>
    </row>
    <row r="57" customFormat="false" ht="31.3" hidden="false" customHeight="false" outlineLevel="0" collapsed="false">
      <c r="A57" s="6" t="s">
        <v>313</v>
      </c>
      <c r="B57" s="4" t="s">
        <v>35</v>
      </c>
      <c r="C57" s="4" t="s">
        <v>172</v>
      </c>
      <c r="D57" s="11" t="s">
        <v>314</v>
      </c>
      <c r="E57" s="4" t="s">
        <v>315</v>
      </c>
      <c r="F57" s="4" t="s">
        <v>316</v>
      </c>
      <c r="G57" s="12" t="s">
        <v>26</v>
      </c>
      <c r="H57" s="6" t="s">
        <v>311</v>
      </c>
      <c r="I57" s="4" t="s">
        <v>312</v>
      </c>
      <c r="J57" s="13" t="s">
        <v>59</v>
      </c>
      <c r="K57" s="13"/>
    </row>
    <row r="58" customFormat="false" ht="16.4" hidden="false" customHeight="false" outlineLevel="0" collapsed="false">
      <c r="A58" s="6" t="s">
        <v>317</v>
      </c>
      <c r="B58" s="4" t="s">
        <v>35</v>
      </c>
      <c r="C58" s="4" t="s">
        <v>318</v>
      </c>
      <c r="D58" s="11" t="s">
        <v>319</v>
      </c>
      <c r="E58" s="4" t="s">
        <v>320</v>
      </c>
      <c r="F58" s="4" t="s">
        <v>321</v>
      </c>
      <c r="G58" s="12" t="s">
        <v>26</v>
      </c>
      <c r="H58" s="6" t="s">
        <v>311</v>
      </c>
      <c r="I58" s="4" t="s">
        <v>322</v>
      </c>
      <c r="J58" s="13" t="s">
        <v>59</v>
      </c>
      <c r="K58" s="13"/>
    </row>
    <row r="59" customFormat="false" ht="31.3" hidden="false" customHeight="false" outlineLevel="0" collapsed="false">
      <c r="A59" s="6" t="s">
        <v>323</v>
      </c>
      <c r="B59" s="4" t="s">
        <v>35</v>
      </c>
      <c r="C59" s="4" t="s">
        <v>186</v>
      </c>
      <c r="D59" s="11" t="s">
        <v>324</v>
      </c>
      <c r="E59" s="4" t="s">
        <v>325</v>
      </c>
      <c r="F59" s="4" t="s">
        <v>326</v>
      </c>
      <c r="G59" s="12" t="s">
        <v>26</v>
      </c>
      <c r="H59" s="6" t="s">
        <v>311</v>
      </c>
      <c r="I59" s="4" t="s">
        <v>327</v>
      </c>
      <c r="J59" s="13" t="s">
        <v>59</v>
      </c>
      <c r="K59" s="13"/>
    </row>
    <row r="60" customFormat="false" ht="16.4" hidden="false" customHeight="false" outlineLevel="0" collapsed="false">
      <c r="A60" s="6" t="s">
        <v>328</v>
      </c>
      <c r="B60" s="4" t="s">
        <v>35</v>
      </c>
      <c r="C60" s="4" t="s">
        <v>318</v>
      </c>
      <c r="D60" s="11" t="s">
        <v>329</v>
      </c>
      <c r="E60" s="4" t="s">
        <v>330</v>
      </c>
      <c r="F60" s="4" t="s">
        <v>331</v>
      </c>
      <c r="G60" s="12" t="s">
        <v>26</v>
      </c>
      <c r="H60" s="6" t="s">
        <v>311</v>
      </c>
      <c r="I60" s="4" t="s">
        <v>323</v>
      </c>
      <c r="J60" s="13" t="s">
        <v>59</v>
      </c>
      <c r="K60" s="13"/>
    </row>
    <row r="61" customFormat="false" ht="31.3" hidden="false" customHeight="false" outlineLevel="0" collapsed="false">
      <c r="A61" s="6" t="s">
        <v>332</v>
      </c>
      <c r="B61" s="4" t="s">
        <v>35</v>
      </c>
      <c r="C61" s="4" t="s">
        <v>318</v>
      </c>
      <c r="D61" s="11" t="s">
        <v>333</v>
      </c>
      <c r="E61" s="4" t="s">
        <v>334</v>
      </c>
      <c r="F61" s="4" t="s">
        <v>335</v>
      </c>
      <c r="G61" s="12" t="s">
        <v>26</v>
      </c>
      <c r="H61" s="6" t="s">
        <v>311</v>
      </c>
      <c r="I61" s="4" t="s">
        <v>328</v>
      </c>
      <c r="J61" s="13" t="s">
        <v>59</v>
      </c>
      <c r="K61" s="13"/>
    </row>
    <row r="62" customFormat="false" ht="31.3" hidden="false" customHeight="false" outlineLevel="0" collapsed="false">
      <c r="A62" s="6" t="s">
        <v>336</v>
      </c>
      <c r="B62" s="4" t="s">
        <v>35</v>
      </c>
      <c r="C62" s="4" t="s">
        <v>228</v>
      </c>
      <c r="D62" s="11" t="s">
        <v>337</v>
      </c>
      <c r="E62" s="4" t="s">
        <v>338</v>
      </c>
      <c r="F62" s="4" t="s">
        <v>339</v>
      </c>
      <c r="G62" s="12" t="s">
        <v>26</v>
      </c>
      <c r="H62" s="6" t="s">
        <v>311</v>
      </c>
      <c r="I62" s="4" t="s">
        <v>340</v>
      </c>
      <c r="J62" s="13" t="s">
        <v>59</v>
      </c>
      <c r="K62" s="13"/>
    </row>
    <row r="63" customFormat="false" ht="16.4" hidden="false" customHeight="false" outlineLevel="0" collapsed="false">
      <c r="A63" s="6" t="s">
        <v>341</v>
      </c>
      <c r="B63" s="4" t="s">
        <v>36</v>
      </c>
      <c r="C63" s="4" t="s">
        <v>342</v>
      </c>
      <c r="D63" s="11" t="s">
        <v>343</v>
      </c>
      <c r="E63" s="4" t="s">
        <v>344</v>
      </c>
      <c r="F63" s="4" t="s">
        <v>345</v>
      </c>
      <c r="G63" s="12" t="s">
        <v>26</v>
      </c>
      <c r="H63" s="6" t="s">
        <v>346</v>
      </c>
      <c r="I63" s="4" t="s">
        <v>336</v>
      </c>
      <c r="J63" s="13" t="s">
        <v>59</v>
      </c>
      <c r="K63" s="13"/>
    </row>
    <row r="64" customFormat="false" ht="16.4" hidden="false" customHeight="false" outlineLevel="0" collapsed="false">
      <c r="A64" s="6" t="s">
        <v>347</v>
      </c>
      <c r="B64" s="4" t="s">
        <v>36</v>
      </c>
      <c r="C64" s="4" t="s">
        <v>342</v>
      </c>
      <c r="D64" s="11" t="s">
        <v>348</v>
      </c>
      <c r="E64" s="4" t="s">
        <v>349</v>
      </c>
      <c r="F64" s="4" t="s">
        <v>350</v>
      </c>
      <c r="G64" s="14" t="s">
        <v>27</v>
      </c>
      <c r="H64" s="6" t="s">
        <v>73</v>
      </c>
      <c r="I64" s="4" t="s">
        <v>341</v>
      </c>
      <c r="J64" s="13" t="s">
        <v>59</v>
      </c>
      <c r="K64" s="13"/>
    </row>
    <row r="65" customFormat="false" ht="31.3" hidden="false" customHeight="false" outlineLevel="0" collapsed="false">
      <c r="A65" s="6" t="s">
        <v>351</v>
      </c>
      <c r="B65" s="4" t="s">
        <v>36</v>
      </c>
      <c r="C65" s="4" t="s">
        <v>342</v>
      </c>
      <c r="D65" s="11" t="s">
        <v>352</v>
      </c>
      <c r="E65" s="4" t="s">
        <v>353</v>
      </c>
      <c r="F65" s="4" t="s">
        <v>354</v>
      </c>
      <c r="G65" s="12" t="s">
        <v>26</v>
      </c>
      <c r="H65" s="6" t="s">
        <v>346</v>
      </c>
      <c r="I65" s="4" t="s">
        <v>341</v>
      </c>
      <c r="J65" s="13" t="s">
        <v>59</v>
      </c>
      <c r="K65" s="13"/>
    </row>
    <row r="66" customFormat="false" ht="16.4" hidden="false" customHeight="false" outlineLevel="0" collapsed="false">
      <c r="A66" s="6" t="s">
        <v>355</v>
      </c>
      <c r="B66" s="4" t="s">
        <v>36</v>
      </c>
      <c r="C66" s="4" t="s">
        <v>186</v>
      </c>
      <c r="D66" s="11" t="s">
        <v>356</v>
      </c>
      <c r="E66" s="4" t="s">
        <v>357</v>
      </c>
      <c r="F66" s="4" t="s">
        <v>358</v>
      </c>
      <c r="G66" s="12" t="s">
        <v>26</v>
      </c>
      <c r="H66" s="6" t="s">
        <v>346</v>
      </c>
      <c r="I66" s="4" t="s">
        <v>351</v>
      </c>
      <c r="J66" s="13" t="s">
        <v>59</v>
      </c>
      <c r="K66" s="13"/>
    </row>
    <row r="67" customFormat="false" ht="16.4" hidden="false" customHeight="false" outlineLevel="0" collapsed="false">
      <c r="A67" s="6" t="s">
        <v>359</v>
      </c>
      <c r="B67" s="4" t="s">
        <v>36</v>
      </c>
      <c r="C67" s="4" t="s">
        <v>360</v>
      </c>
      <c r="D67" s="11" t="s">
        <v>361</v>
      </c>
      <c r="E67" s="4" t="s">
        <v>362</v>
      </c>
      <c r="F67" s="4" t="s">
        <v>363</v>
      </c>
      <c r="G67" s="12" t="s">
        <v>26</v>
      </c>
      <c r="H67" s="6" t="s">
        <v>346</v>
      </c>
      <c r="I67" s="4" t="s">
        <v>341</v>
      </c>
      <c r="J67" s="13" t="s">
        <v>59</v>
      </c>
      <c r="K67" s="13"/>
    </row>
    <row r="68" customFormat="false" ht="16.4" hidden="false" customHeight="false" outlineLevel="0" collapsed="false">
      <c r="A68" s="6" t="s">
        <v>364</v>
      </c>
      <c r="B68" s="4" t="s">
        <v>36</v>
      </c>
      <c r="C68" s="4" t="s">
        <v>342</v>
      </c>
      <c r="D68" s="11" t="s">
        <v>365</v>
      </c>
      <c r="E68" s="4" t="s">
        <v>366</v>
      </c>
      <c r="F68" s="4" t="s">
        <v>367</v>
      </c>
      <c r="G68" s="12" t="s">
        <v>26</v>
      </c>
      <c r="H68" s="6" t="s">
        <v>346</v>
      </c>
      <c r="I68" s="4" t="s">
        <v>351</v>
      </c>
      <c r="J68" s="13" t="s">
        <v>59</v>
      </c>
      <c r="K68" s="13"/>
    </row>
    <row r="69" customFormat="false" ht="31.3" hidden="false" customHeight="false" outlineLevel="0" collapsed="false">
      <c r="A69" s="6" t="s">
        <v>368</v>
      </c>
      <c r="B69" s="4" t="s">
        <v>36</v>
      </c>
      <c r="C69" s="4" t="s">
        <v>228</v>
      </c>
      <c r="D69" s="11" t="s">
        <v>369</v>
      </c>
      <c r="E69" s="4" t="s">
        <v>370</v>
      </c>
      <c r="F69" s="4" t="s">
        <v>371</v>
      </c>
      <c r="G69" s="12" t="s">
        <v>26</v>
      </c>
      <c r="H69" s="6" t="s">
        <v>346</v>
      </c>
      <c r="I69" s="4" t="s">
        <v>372</v>
      </c>
      <c r="J69" s="13" t="s">
        <v>59</v>
      </c>
      <c r="K69" s="13"/>
    </row>
    <row r="70" customFormat="false" ht="16.4" hidden="false" customHeight="false" outlineLevel="0" collapsed="false">
      <c r="A70" s="6" t="s">
        <v>373</v>
      </c>
      <c r="B70" s="4" t="s">
        <v>37</v>
      </c>
      <c r="C70" s="4" t="s">
        <v>374</v>
      </c>
      <c r="D70" s="11" t="s">
        <v>375</v>
      </c>
      <c r="E70" s="4" t="s">
        <v>376</v>
      </c>
      <c r="F70" s="4" t="s">
        <v>377</v>
      </c>
      <c r="G70" s="14" t="s">
        <v>27</v>
      </c>
      <c r="H70" s="6" t="s">
        <v>73</v>
      </c>
      <c r="I70" s="4" t="s">
        <v>195</v>
      </c>
      <c r="J70" s="13" t="s">
        <v>59</v>
      </c>
      <c r="K70" s="13"/>
    </row>
    <row r="71" customFormat="false" ht="16.4" hidden="false" customHeight="false" outlineLevel="0" collapsed="false">
      <c r="A71" s="6" t="s">
        <v>378</v>
      </c>
      <c r="B71" s="4" t="s">
        <v>37</v>
      </c>
      <c r="C71" s="4" t="s">
        <v>374</v>
      </c>
      <c r="D71" s="11" t="s">
        <v>379</v>
      </c>
      <c r="E71" s="4" t="s">
        <v>380</v>
      </c>
      <c r="F71" s="4" t="s">
        <v>381</v>
      </c>
      <c r="G71" s="14" t="s">
        <v>27</v>
      </c>
      <c r="H71" s="6" t="s">
        <v>73</v>
      </c>
      <c r="I71" s="4" t="s">
        <v>382</v>
      </c>
      <c r="J71" s="13" t="s">
        <v>59</v>
      </c>
      <c r="K71" s="13"/>
    </row>
    <row r="72" customFormat="false" ht="16.4" hidden="false" customHeight="false" outlineLevel="0" collapsed="false">
      <c r="A72" s="6" t="s">
        <v>383</v>
      </c>
      <c r="B72" s="4" t="s">
        <v>37</v>
      </c>
      <c r="C72" s="4" t="s">
        <v>374</v>
      </c>
      <c r="D72" s="11" t="s">
        <v>384</v>
      </c>
      <c r="E72" s="4" t="s">
        <v>385</v>
      </c>
      <c r="F72" s="4" t="s">
        <v>386</v>
      </c>
      <c r="G72" s="14" t="s">
        <v>27</v>
      </c>
      <c r="H72" s="6" t="s">
        <v>73</v>
      </c>
      <c r="I72" s="4" t="s">
        <v>134</v>
      </c>
      <c r="J72" s="13" t="s">
        <v>59</v>
      </c>
      <c r="K72" s="13"/>
    </row>
    <row r="73" customFormat="false" ht="16.4" hidden="false" customHeight="false" outlineLevel="0" collapsed="false">
      <c r="A73" s="6" t="s">
        <v>387</v>
      </c>
      <c r="B73" s="4" t="s">
        <v>37</v>
      </c>
      <c r="C73" s="4" t="s">
        <v>374</v>
      </c>
      <c r="D73" s="11" t="s">
        <v>388</v>
      </c>
      <c r="E73" s="4" t="s">
        <v>389</v>
      </c>
      <c r="F73" s="4" t="s">
        <v>390</v>
      </c>
      <c r="G73" s="14" t="s">
        <v>27</v>
      </c>
      <c r="H73" s="6" t="s">
        <v>73</v>
      </c>
      <c r="I73" s="4" t="s">
        <v>378</v>
      </c>
      <c r="J73" s="13" t="s">
        <v>59</v>
      </c>
      <c r="K73" s="13"/>
    </row>
    <row r="74" customFormat="false" ht="16.4" hidden="false" customHeight="false" outlineLevel="0" collapsed="false">
      <c r="A74" s="6" t="s">
        <v>391</v>
      </c>
      <c r="B74" s="4" t="s">
        <v>37</v>
      </c>
      <c r="C74" s="4" t="s">
        <v>228</v>
      </c>
      <c r="D74" s="11" t="s">
        <v>392</v>
      </c>
      <c r="E74" s="4" t="s">
        <v>393</v>
      </c>
      <c r="F74" s="4" t="s">
        <v>394</v>
      </c>
      <c r="G74" s="14" t="s">
        <v>27</v>
      </c>
      <c r="H74" s="6" t="s">
        <v>73</v>
      </c>
      <c r="I74" s="4" t="s">
        <v>387</v>
      </c>
      <c r="J74" s="13" t="s">
        <v>59</v>
      </c>
      <c r="K74" s="13"/>
    </row>
    <row r="75" customFormat="false" ht="16.4" hidden="false" customHeight="false" outlineLevel="0" collapsed="false">
      <c r="A75" s="6" t="s">
        <v>395</v>
      </c>
      <c r="B75" s="4" t="s">
        <v>38</v>
      </c>
      <c r="C75" s="4" t="s">
        <v>396</v>
      </c>
      <c r="D75" s="11" t="s">
        <v>397</v>
      </c>
      <c r="E75" s="4" t="s">
        <v>398</v>
      </c>
      <c r="F75" s="4" t="s">
        <v>399</v>
      </c>
      <c r="G75" s="14" t="s">
        <v>27</v>
      </c>
      <c r="H75" s="6" t="s">
        <v>73</v>
      </c>
      <c r="I75" s="4" t="s">
        <v>185</v>
      </c>
      <c r="J75" s="13" t="s">
        <v>59</v>
      </c>
      <c r="K75" s="13"/>
    </row>
    <row r="76" customFormat="false" ht="16.4" hidden="false" customHeight="false" outlineLevel="0" collapsed="false">
      <c r="A76" s="6" t="s">
        <v>400</v>
      </c>
      <c r="B76" s="4" t="s">
        <v>38</v>
      </c>
      <c r="C76" s="4" t="s">
        <v>396</v>
      </c>
      <c r="D76" s="11" t="s">
        <v>401</v>
      </c>
      <c r="E76" s="4" t="s">
        <v>402</v>
      </c>
      <c r="F76" s="4" t="s">
        <v>403</v>
      </c>
      <c r="G76" s="14" t="s">
        <v>27</v>
      </c>
      <c r="H76" s="6" t="s">
        <v>73</v>
      </c>
      <c r="I76" s="4" t="s">
        <v>404</v>
      </c>
      <c r="J76" s="13" t="s">
        <v>59</v>
      </c>
      <c r="K76" s="13"/>
    </row>
    <row r="77" customFormat="false" ht="31.3" hidden="false" customHeight="false" outlineLevel="0" collapsed="false">
      <c r="A77" s="6" t="s">
        <v>405</v>
      </c>
      <c r="B77" s="4" t="s">
        <v>38</v>
      </c>
      <c r="C77" s="4" t="s">
        <v>396</v>
      </c>
      <c r="D77" s="11" t="s">
        <v>406</v>
      </c>
      <c r="E77" s="4" t="s">
        <v>407</v>
      </c>
      <c r="F77" s="4" t="s">
        <v>408</v>
      </c>
      <c r="G77" s="14" t="s">
        <v>27</v>
      </c>
      <c r="H77" s="6" t="s">
        <v>73</v>
      </c>
      <c r="I77" s="4" t="s">
        <v>409</v>
      </c>
      <c r="J77" s="13" t="s">
        <v>59</v>
      </c>
      <c r="K77" s="13"/>
    </row>
    <row r="78" customFormat="false" ht="31.3" hidden="false" customHeight="false" outlineLevel="0" collapsed="false">
      <c r="A78" s="6" t="s">
        <v>410</v>
      </c>
      <c r="B78" s="4" t="s">
        <v>38</v>
      </c>
      <c r="C78" s="4" t="s">
        <v>172</v>
      </c>
      <c r="D78" s="11" t="s">
        <v>411</v>
      </c>
      <c r="E78" s="4" t="s">
        <v>412</v>
      </c>
      <c r="F78" s="4" t="s">
        <v>413</v>
      </c>
      <c r="G78" s="14" t="s">
        <v>27</v>
      </c>
      <c r="H78" s="6" t="s">
        <v>73</v>
      </c>
      <c r="I78" s="4" t="s">
        <v>414</v>
      </c>
      <c r="J78" s="13" t="s">
        <v>59</v>
      </c>
      <c r="K78" s="13"/>
    </row>
    <row r="79" customFormat="false" ht="31.3" hidden="false" customHeight="false" outlineLevel="0" collapsed="false">
      <c r="A79" s="6" t="s">
        <v>415</v>
      </c>
      <c r="B79" s="4" t="s">
        <v>38</v>
      </c>
      <c r="C79" s="4" t="s">
        <v>416</v>
      </c>
      <c r="D79" s="11" t="s">
        <v>417</v>
      </c>
      <c r="E79" s="4" t="s">
        <v>418</v>
      </c>
      <c r="F79" s="4" t="s">
        <v>394</v>
      </c>
      <c r="G79" s="14" t="s">
        <v>27</v>
      </c>
      <c r="H79" s="6" t="s">
        <v>73</v>
      </c>
      <c r="I79" s="4" t="s">
        <v>419</v>
      </c>
      <c r="J79" s="13" t="s">
        <v>59</v>
      </c>
      <c r="K79" s="13"/>
    </row>
    <row r="80" customFormat="false" ht="16.4" hidden="false" customHeight="false" outlineLevel="0" collapsed="false">
      <c r="A80" s="6" t="s">
        <v>420</v>
      </c>
      <c r="B80" s="4" t="s">
        <v>38</v>
      </c>
      <c r="C80" s="4" t="s">
        <v>416</v>
      </c>
      <c r="D80" s="11" t="s">
        <v>421</v>
      </c>
      <c r="E80" s="4" t="s">
        <v>422</v>
      </c>
      <c r="F80" s="4" t="s">
        <v>423</v>
      </c>
      <c r="G80" s="14" t="s">
        <v>27</v>
      </c>
      <c r="H80" s="6" t="s">
        <v>73</v>
      </c>
      <c r="I80" s="4" t="s">
        <v>415</v>
      </c>
      <c r="J80" s="13" t="s">
        <v>59</v>
      </c>
      <c r="K80" s="13"/>
    </row>
    <row r="81" customFormat="false" ht="16.4" hidden="false" customHeight="false" outlineLevel="0" collapsed="false">
      <c r="A81" s="6" t="s">
        <v>424</v>
      </c>
      <c r="B81" s="4" t="s">
        <v>38</v>
      </c>
      <c r="C81" s="4" t="s">
        <v>396</v>
      </c>
      <c r="D81" s="11" t="s">
        <v>425</v>
      </c>
      <c r="E81" s="4" t="s">
        <v>426</v>
      </c>
      <c r="F81" s="4" t="s">
        <v>427</v>
      </c>
      <c r="G81" s="15" t="s">
        <v>28</v>
      </c>
      <c r="H81" s="6" t="s">
        <v>73</v>
      </c>
      <c r="I81" s="4" t="s">
        <v>400</v>
      </c>
      <c r="J81" s="13" t="s">
        <v>59</v>
      </c>
      <c r="K81" s="13"/>
    </row>
    <row r="82" customFormat="false" ht="31.3" hidden="false" customHeight="false" outlineLevel="0" collapsed="false">
      <c r="A82" s="6" t="s">
        <v>428</v>
      </c>
      <c r="B82" s="4" t="s">
        <v>39</v>
      </c>
      <c r="C82" s="4" t="s">
        <v>360</v>
      </c>
      <c r="D82" s="11" t="s">
        <v>429</v>
      </c>
      <c r="E82" s="4" t="s">
        <v>430</v>
      </c>
      <c r="F82" s="4" t="s">
        <v>431</v>
      </c>
      <c r="G82" s="14" t="s">
        <v>27</v>
      </c>
      <c r="H82" s="6" t="s">
        <v>73</v>
      </c>
      <c r="I82" s="4" t="s">
        <v>199</v>
      </c>
      <c r="J82" s="13" t="s">
        <v>59</v>
      </c>
      <c r="K82" s="13"/>
    </row>
    <row r="83" customFormat="false" ht="31.3" hidden="false" customHeight="false" outlineLevel="0" collapsed="false">
      <c r="A83" s="6" t="s">
        <v>432</v>
      </c>
      <c r="B83" s="4" t="s">
        <v>39</v>
      </c>
      <c r="C83" s="4" t="s">
        <v>360</v>
      </c>
      <c r="D83" s="11" t="s">
        <v>433</v>
      </c>
      <c r="E83" s="4" t="s">
        <v>434</v>
      </c>
      <c r="F83" s="4" t="s">
        <v>435</v>
      </c>
      <c r="G83" s="14" t="s">
        <v>27</v>
      </c>
      <c r="H83" s="6" t="s">
        <v>73</v>
      </c>
      <c r="I83" s="4" t="s">
        <v>351</v>
      </c>
      <c r="J83" s="13" t="s">
        <v>59</v>
      </c>
      <c r="K83" s="13"/>
    </row>
    <row r="84" customFormat="false" ht="16.4" hidden="false" customHeight="false" outlineLevel="0" collapsed="false">
      <c r="A84" s="6" t="s">
        <v>436</v>
      </c>
      <c r="B84" s="4" t="s">
        <v>39</v>
      </c>
      <c r="C84" s="4" t="s">
        <v>360</v>
      </c>
      <c r="D84" s="11" t="s">
        <v>437</v>
      </c>
      <c r="E84" s="4" t="s">
        <v>438</v>
      </c>
      <c r="F84" s="4" t="s">
        <v>439</v>
      </c>
      <c r="G84" s="14" t="s">
        <v>27</v>
      </c>
      <c r="H84" s="6" t="s">
        <v>73</v>
      </c>
      <c r="I84" s="4" t="s">
        <v>432</v>
      </c>
      <c r="J84" s="13" t="s">
        <v>59</v>
      </c>
      <c r="K84" s="13"/>
    </row>
    <row r="85" customFormat="false" ht="31.3" hidden="false" customHeight="false" outlineLevel="0" collapsed="false">
      <c r="A85" s="6" t="s">
        <v>440</v>
      </c>
      <c r="B85" s="4" t="s">
        <v>39</v>
      </c>
      <c r="C85" s="4" t="s">
        <v>360</v>
      </c>
      <c r="D85" s="11" t="s">
        <v>441</v>
      </c>
      <c r="E85" s="4" t="s">
        <v>442</v>
      </c>
      <c r="F85" s="4" t="s">
        <v>443</v>
      </c>
      <c r="G85" s="14" t="s">
        <v>27</v>
      </c>
      <c r="H85" s="6" t="s">
        <v>73</v>
      </c>
      <c r="I85" s="4" t="s">
        <v>444</v>
      </c>
      <c r="J85" s="13" t="s">
        <v>59</v>
      </c>
      <c r="K85" s="13"/>
    </row>
    <row r="86" customFormat="false" ht="16.4" hidden="false" customHeight="false" outlineLevel="0" collapsed="false">
      <c r="A86" s="6" t="s">
        <v>445</v>
      </c>
      <c r="B86" s="4" t="s">
        <v>39</v>
      </c>
      <c r="C86" s="4" t="s">
        <v>360</v>
      </c>
      <c r="D86" s="11" t="s">
        <v>446</v>
      </c>
      <c r="E86" s="4" t="s">
        <v>447</v>
      </c>
      <c r="F86" s="4" t="s">
        <v>448</v>
      </c>
      <c r="G86" s="14" t="s">
        <v>27</v>
      </c>
      <c r="H86" s="6" t="s">
        <v>73</v>
      </c>
      <c r="I86" s="4" t="s">
        <v>359</v>
      </c>
      <c r="J86" s="13" t="s">
        <v>59</v>
      </c>
      <c r="K86" s="13"/>
    </row>
    <row r="87" customFormat="false" ht="16.4" hidden="false" customHeight="false" outlineLevel="0" collapsed="false">
      <c r="A87" s="6" t="s">
        <v>449</v>
      </c>
      <c r="B87" s="4" t="s">
        <v>39</v>
      </c>
      <c r="C87" s="4" t="s">
        <v>360</v>
      </c>
      <c r="D87" s="11" t="s">
        <v>450</v>
      </c>
      <c r="E87" s="4" t="s">
        <v>451</v>
      </c>
      <c r="F87" s="4" t="s">
        <v>452</v>
      </c>
      <c r="G87" s="14" t="s">
        <v>27</v>
      </c>
      <c r="H87" s="6" t="s">
        <v>73</v>
      </c>
      <c r="I87" s="4" t="s">
        <v>236</v>
      </c>
      <c r="J87" s="13" t="s">
        <v>59</v>
      </c>
      <c r="K87" s="13"/>
    </row>
    <row r="88" customFormat="false" ht="16.4" hidden="false" customHeight="false" outlineLevel="0" collapsed="false">
      <c r="A88" s="6" t="s">
        <v>453</v>
      </c>
      <c r="B88" s="4" t="s">
        <v>39</v>
      </c>
      <c r="C88" s="4" t="s">
        <v>360</v>
      </c>
      <c r="D88" s="11" t="s">
        <v>454</v>
      </c>
      <c r="E88" s="4" t="s">
        <v>455</v>
      </c>
      <c r="F88" s="4" t="s">
        <v>456</v>
      </c>
      <c r="G88" s="14" t="s">
        <v>27</v>
      </c>
      <c r="H88" s="6" t="s">
        <v>73</v>
      </c>
      <c r="I88" s="4" t="s">
        <v>185</v>
      </c>
      <c r="J88" s="13" t="s">
        <v>59</v>
      </c>
      <c r="K88" s="13"/>
    </row>
    <row r="89" customFormat="false" ht="16.4" hidden="false" customHeight="false" outlineLevel="0" collapsed="false">
      <c r="A89" s="6" t="s">
        <v>457</v>
      </c>
      <c r="B89" s="4" t="s">
        <v>39</v>
      </c>
      <c r="C89" s="4" t="s">
        <v>360</v>
      </c>
      <c r="D89" s="11" t="s">
        <v>458</v>
      </c>
      <c r="E89" s="4" t="s">
        <v>459</v>
      </c>
      <c r="F89" s="4" t="s">
        <v>460</v>
      </c>
      <c r="G89" s="14" t="s">
        <v>27</v>
      </c>
      <c r="H89" s="6" t="s">
        <v>73</v>
      </c>
      <c r="I89" s="4" t="s">
        <v>461</v>
      </c>
      <c r="J89" s="13" t="s">
        <v>59</v>
      </c>
      <c r="K89" s="13"/>
    </row>
    <row r="90" customFormat="false" ht="16.4" hidden="false" customHeight="false" outlineLevel="0" collapsed="false">
      <c r="A90" s="6" t="s">
        <v>462</v>
      </c>
      <c r="B90" s="4" t="s">
        <v>39</v>
      </c>
      <c r="C90" s="4" t="s">
        <v>360</v>
      </c>
      <c r="D90" s="11" t="s">
        <v>463</v>
      </c>
      <c r="E90" s="4" t="s">
        <v>464</v>
      </c>
      <c r="F90" s="4" t="s">
        <v>394</v>
      </c>
      <c r="G90" s="14" t="s">
        <v>27</v>
      </c>
      <c r="H90" s="6" t="s">
        <v>73</v>
      </c>
      <c r="I90" s="4" t="s">
        <v>465</v>
      </c>
      <c r="J90" s="13" t="s">
        <v>59</v>
      </c>
      <c r="K90" s="13"/>
    </row>
    <row r="91" customFormat="false" ht="16.4" hidden="false" customHeight="false" outlineLevel="0" collapsed="false">
      <c r="A91" s="6" t="s">
        <v>466</v>
      </c>
      <c r="B91" s="4" t="s">
        <v>40</v>
      </c>
      <c r="C91" s="4" t="s">
        <v>276</v>
      </c>
      <c r="D91" s="11" t="s">
        <v>467</v>
      </c>
      <c r="E91" s="4" t="s">
        <v>468</v>
      </c>
      <c r="F91" s="4" t="s">
        <v>469</v>
      </c>
      <c r="G91" s="14" t="s">
        <v>27</v>
      </c>
      <c r="H91" s="6" t="s">
        <v>73</v>
      </c>
      <c r="I91" s="4" t="s">
        <v>191</v>
      </c>
      <c r="J91" s="13" t="s">
        <v>59</v>
      </c>
      <c r="K91" s="13"/>
    </row>
    <row r="92" customFormat="false" ht="16.4" hidden="false" customHeight="false" outlineLevel="0" collapsed="false">
      <c r="A92" s="6" t="s">
        <v>470</v>
      </c>
      <c r="B92" s="4" t="s">
        <v>40</v>
      </c>
      <c r="C92" s="4" t="s">
        <v>276</v>
      </c>
      <c r="D92" s="11" t="s">
        <v>471</v>
      </c>
      <c r="E92" s="4" t="s">
        <v>472</v>
      </c>
      <c r="F92" s="4" t="s">
        <v>473</v>
      </c>
      <c r="G92" s="14" t="s">
        <v>27</v>
      </c>
      <c r="H92" s="6" t="s">
        <v>73</v>
      </c>
      <c r="I92" s="4" t="s">
        <v>261</v>
      </c>
      <c r="J92" s="13" t="s">
        <v>59</v>
      </c>
      <c r="K92" s="13"/>
    </row>
    <row r="93" customFormat="false" ht="16.4" hidden="false" customHeight="false" outlineLevel="0" collapsed="false">
      <c r="A93" s="6" t="s">
        <v>474</v>
      </c>
      <c r="B93" s="4" t="s">
        <v>40</v>
      </c>
      <c r="C93" s="4" t="s">
        <v>276</v>
      </c>
      <c r="D93" s="11" t="s">
        <v>475</v>
      </c>
      <c r="E93" s="4" t="s">
        <v>476</v>
      </c>
      <c r="F93" s="4" t="s">
        <v>477</v>
      </c>
      <c r="G93" s="14" t="s">
        <v>27</v>
      </c>
      <c r="H93" s="6" t="s">
        <v>73</v>
      </c>
      <c r="I93" s="4" t="s">
        <v>214</v>
      </c>
      <c r="J93" s="13" t="s">
        <v>59</v>
      </c>
      <c r="K93" s="13"/>
    </row>
    <row r="94" customFormat="false" ht="16.4" hidden="false" customHeight="false" outlineLevel="0" collapsed="false">
      <c r="A94" s="6" t="s">
        <v>478</v>
      </c>
      <c r="B94" s="4" t="s">
        <v>40</v>
      </c>
      <c r="C94" s="4" t="s">
        <v>276</v>
      </c>
      <c r="D94" s="11" t="s">
        <v>479</v>
      </c>
      <c r="E94" s="4" t="s">
        <v>480</v>
      </c>
      <c r="F94" s="4" t="s">
        <v>481</v>
      </c>
      <c r="G94" s="14" t="s">
        <v>27</v>
      </c>
      <c r="H94" s="6" t="s">
        <v>73</v>
      </c>
      <c r="I94" s="4" t="s">
        <v>474</v>
      </c>
      <c r="J94" s="13" t="s">
        <v>59</v>
      </c>
      <c r="K94" s="13"/>
    </row>
    <row r="95" customFormat="false" ht="16.4" hidden="false" customHeight="false" outlineLevel="0" collapsed="false">
      <c r="A95" s="6" t="s">
        <v>482</v>
      </c>
      <c r="B95" s="4" t="s">
        <v>40</v>
      </c>
      <c r="C95" s="4" t="s">
        <v>276</v>
      </c>
      <c r="D95" s="11" t="s">
        <v>483</v>
      </c>
      <c r="E95" s="4" t="s">
        <v>484</v>
      </c>
      <c r="F95" s="4" t="s">
        <v>485</v>
      </c>
      <c r="G95" s="14" t="s">
        <v>27</v>
      </c>
      <c r="H95" s="6" t="s">
        <v>73</v>
      </c>
      <c r="I95" s="4" t="s">
        <v>208</v>
      </c>
      <c r="J95" s="13" t="s">
        <v>59</v>
      </c>
      <c r="K95" s="13"/>
    </row>
    <row r="96" customFormat="false" ht="16.4" hidden="false" customHeight="false" outlineLevel="0" collapsed="false">
      <c r="A96" s="6" t="s">
        <v>486</v>
      </c>
      <c r="B96" s="4" t="s">
        <v>40</v>
      </c>
      <c r="C96" s="4" t="s">
        <v>276</v>
      </c>
      <c r="D96" s="11" t="s">
        <v>487</v>
      </c>
      <c r="E96" s="4" t="s">
        <v>488</v>
      </c>
      <c r="F96" s="4" t="s">
        <v>489</v>
      </c>
      <c r="G96" s="14" t="s">
        <v>27</v>
      </c>
      <c r="H96" s="6" t="s">
        <v>73</v>
      </c>
      <c r="I96" s="4" t="s">
        <v>208</v>
      </c>
      <c r="J96" s="13" t="s">
        <v>59</v>
      </c>
      <c r="K96" s="13"/>
    </row>
    <row r="97" customFormat="false" ht="16.4" hidden="false" customHeight="false" outlineLevel="0" collapsed="false">
      <c r="A97" s="6" t="s">
        <v>490</v>
      </c>
      <c r="B97" s="4" t="s">
        <v>40</v>
      </c>
      <c r="C97" s="4" t="s">
        <v>276</v>
      </c>
      <c r="D97" s="11" t="s">
        <v>491</v>
      </c>
      <c r="E97" s="4" t="s">
        <v>492</v>
      </c>
      <c r="F97" s="4" t="s">
        <v>493</v>
      </c>
      <c r="G97" s="15" t="s">
        <v>28</v>
      </c>
      <c r="H97" s="6" t="s">
        <v>73</v>
      </c>
      <c r="I97" s="4" t="s">
        <v>478</v>
      </c>
      <c r="J97" s="13" t="s">
        <v>59</v>
      </c>
      <c r="K97" s="13"/>
    </row>
    <row r="98" customFormat="false" ht="46.25" hidden="false" customHeight="false" outlineLevel="0" collapsed="false">
      <c r="A98" s="6" t="s">
        <v>494</v>
      </c>
      <c r="B98" s="4" t="s">
        <v>41</v>
      </c>
      <c r="C98" s="4" t="s">
        <v>495</v>
      </c>
      <c r="D98" s="11" t="s">
        <v>496</v>
      </c>
      <c r="E98" s="4" t="s">
        <v>497</v>
      </c>
      <c r="F98" s="4" t="s">
        <v>498</v>
      </c>
      <c r="G98" s="14" t="s">
        <v>27</v>
      </c>
      <c r="H98" s="6" t="s">
        <v>73</v>
      </c>
      <c r="I98" s="4" t="s">
        <v>218</v>
      </c>
      <c r="J98" s="13" t="s">
        <v>59</v>
      </c>
      <c r="K98" s="13"/>
    </row>
    <row r="99" customFormat="false" ht="16.4" hidden="false" customHeight="false" outlineLevel="0" collapsed="false">
      <c r="A99" s="6" t="s">
        <v>499</v>
      </c>
      <c r="B99" s="4" t="s">
        <v>41</v>
      </c>
      <c r="C99" s="4" t="s">
        <v>500</v>
      </c>
      <c r="D99" s="11" t="s">
        <v>501</v>
      </c>
      <c r="E99" s="4" t="s">
        <v>502</v>
      </c>
      <c r="F99" s="4" t="s">
        <v>503</v>
      </c>
      <c r="G99" s="14" t="s">
        <v>27</v>
      </c>
      <c r="H99" s="6" t="s">
        <v>73</v>
      </c>
      <c r="I99" s="4"/>
      <c r="J99" s="13" t="s">
        <v>59</v>
      </c>
      <c r="K99" s="13"/>
    </row>
    <row r="100" customFormat="false" ht="31.3" hidden="false" customHeight="false" outlineLevel="0" collapsed="false">
      <c r="A100" s="6" t="s">
        <v>504</v>
      </c>
      <c r="B100" s="4" t="s">
        <v>41</v>
      </c>
      <c r="C100" s="4" t="s">
        <v>495</v>
      </c>
      <c r="D100" s="11" t="s">
        <v>505</v>
      </c>
      <c r="E100" s="4" t="s">
        <v>506</v>
      </c>
      <c r="F100" s="4" t="s">
        <v>507</v>
      </c>
      <c r="G100" s="14" t="s">
        <v>27</v>
      </c>
      <c r="H100" s="6" t="s">
        <v>73</v>
      </c>
      <c r="I100" s="4" t="s">
        <v>508</v>
      </c>
      <c r="J100" s="13" t="s">
        <v>59</v>
      </c>
      <c r="K100" s="13"/>
    </row>
    <row r="101" customFormat="false" ht="31.3" hidden="false" customHeight="false" outlineLevel="0" collapsed="false">
      <c r="A101" s="6" t="s">
        <v>509</v>
      </c>
      <c r="B101" s="4" t="s">
        <v>41</v>
      </c>
      <c r="C101" s="4" t="s">
        <v>495</v>
      </c>
      <c r="D101" s="11" t="s">
        <v>510</v>
      </c>
      <c r="E101" s="4" t="s">
        <v>511</v>
      </c>
      <c r="F101" s="4" t="s">
        <v>73</v>
      </c>
      <c r="G101" s="15" t="s">
        <v>28</v>
      </c>
      <c r="H101" s="6" t="s">
        <v>73</v>
      </c>
      <c r="I101" s="4"/>
      <c r="J101" s="13" t="s">
        <v>512</v>
      </c>
      <c r="K101" s="13"/>
    </row>
    <row r="102" customFormat="false" ht="46.25" hidden="false" customHeight="false" outlineLevel="0" collapsed="false">
      <c r="A102" s="6" t="s">
        <v>513</v>
      </c>
      <c r="B102" s="4" t="s">
        <v>41</v>
      </c>
      <c r="C102" s="4" t="s">
        <v>495</v>
      </c>
      <c r="D102" s="11" t="s">
        <v>514</v>
      </c>
      <c r="E102" s="4" t="s">
        <v>515</v>
      </c>
      <c r="F102" s="4" t="s">
        <v>516</v>
      </c>
      <c r="G102" s="14" t="s">
        <v>27</v>
      </c>
      <c r="H102" s="6" t="s">
        <v>73</v>
      </c>
      <c r="I102" s="4" t="s">
        <v>504</v>
      </c>
      <c r="J102" s="13" t="s">
        <v>59</v>
      </c>
      <c r="K102" s="13"/>
    </row>
    <row r="103" customFormat="false" ht="16.4" hidden="false" customHeight="false" outlineLevel="0" collapsed="false">
      <c r="A103" s="6" t="s">
        <v>517</v>
      </c>
      <c r="B103" s="4" t="s">
        <v>41</v>
      </c>
      <c r="C103" s="4" t="s">
        <v>500</v>
      </c>
      <c r="D103" s="11" t="s">
        <v>518</v>
      </c>
      <c r="E103" s="4" t="s">
        <v>519</v>
      </c>
      <c r="F103" s="4" t="s">
        <v>520</v>
      </c>
      <c r="G103" s="14" t="s">
        <v>27</v>
      </c>
      <c r="H103" s="6" t="s">
        <v>73</v>
      </c>
      <c r="I103" s="4" t="s">
        <v>218</v>
      </c>
      <c r="J103" s="13" t="s">
        <v>59</v>
      </c>
      <c r="K103" s="13"/>
    </row>
    <row r="104" customFormat="false" ht="16.4" hidden="false" customHeight="false" outlineLevel="0" collapsed="false">
      <c r="A104" s="6" t="s">
        <v>521</v>
      </c>
      <c r="B104" s="4" t="s">
        <v>42</v>
      </c>
      <c r="C104" s="4" t="s">
        <v>522</v>
      </c>
      <c r="D104" s="11" t="s">
        <v>523</v>
      </c>
      <c r="E104" s="4" t="s">
        <v>524</v>
      </c>
      <c r="F104" s="4" t="s">
        <v>525</v>
      </c>
      <c r="G104" s="14" t="s">
        <v>27</v>
      </c>
      <c r="H104" s="6" t="s">
        <v>73</v>
      </c>
      <c r="I104" s="4" t="s">
        <v>526</v>
      </c>
      <c r="J104" s="13" t="s">
        <v>59</v>
      </c>
      <c r="K104" s="13"/>
    </row>
    <row r="105" customFormat="false" ht="16.4" hidden="false" customHeight="false" outlineLevel="0" collapsed="false">
      <c r="A105" s="6" t="s">
        <v>527</v>
      </c>
      <c r="B105" s="4" t="s">
        <v>42</v>
      </c>
      <c r="C105" s="4" t="s">
        <v>209</v>
      </c>
      <c r="D105" s="11" t="s">
        <v>528</v>
      </c>
      <c r="E105" s="4" t="s">
        <v>529</v>
      </c>
      <c r="F105" s="4" t="s">
        <v>530</v>
      </c>
      <c r="G105" s="14" t="s">
        <v>27</v>
      </c>
      <c r="H105" s="6" t="s">
        <v>73</v>
      </c>
      <c r="I105" s="4" t="s">
        <v>218</v>
      </c>
      <c r="J105" s="13" t="s">
        <v>59</v>
      </c>
      <c r="K105" s="13"/>
    </row>
    <row r="106" customFormat="false" ht="31.3" hidden="false" customHeight="false" outlineLevel="0" collapsed="false">
      <c r="A106" s="6" t="s">
        <v>531</v>
      </c>
      <c r="B106" s="4" t="s">
        <v>43</v>
      </c>
      <c r="C106" s="4" t="s">
        <v>532</v>
      </c>
      <c r="D106" s="11" t="s">
        <v>533</v>
      </c>
      <c r="E106" s="4" t="s">
        <v>534</v>
      </c>
      <c r="F106" s="4" t="s">
        <v>535</v>
      </c>
      <c r="G106" s="15" t="s">
        <v>28</v>
      </c>
      <c r="H106" s="6" t="s">
        <v>73</v>
      </c>
      <c r="I106" s="4" t="s">
        <v>150</v>
      </c>
      <c r="J106" s="13" t="s">
        <v>59</v>
      </c>
      <c r="K106" s="13"/>
    </row>
    <row r="107" customFormat="false" ht="31.3" hidden="false" customHeight="false" outlineLevel="0" collapsed="false">
      <c r="A107" s="6" t="s">
        <v>536</v>
      </c>
      <c r="B107" s="4" t="s">
        <v>43</v>
      </c>
      <c r="C107" s="4" t="s">
        <v>532</v>
      </c>
      <c r="D107" s="11" t="s">
        <v>537</v>
      </c>
      <c r="E107" s="4" t="s">
        <v>538</v>
      </c>
      <c r="F107" s="4" t="s">
        <v>539</v>
      </c>
      <c r="G107" s="15" t="s">
        <v>28</v>
      </c>
      <c r="H107" s="6" t="s">
        <v>73</v>
      </c>
      <c r="I107" s="4" t="s">
        <v>531</v>
      </c>
      <c r="J107" s="13" t="s">
        <v>59</v>
      </c>
      <c r="K107" s="13"/>
    </row>
    <row r="108" customFormat="false" ht="16.4" hidden="false" customHeight="false" outlineLevel="0" collapsed="false">
      <c r="A108" s="6" t="s">
        <v>540</v>
      </c>
      <c r="B108" s="4" t="s">
        <v>43</v>
      </c>
      <c r="C108" s="4" t="s">
        <v>532</v>
      </c>
      <c r="D108" s="11" t="s">
        <v>541</v>
      </c>
      <c r="E108" s="4" t="s">
        <v>542</v>
      </c>
      <c r="F108" s="4" t="s">
        <v>543</v>
      </c>
      <c r="G108" s="15" t="s">
        <v>28</v>
      </c>
      <c r="H108" s="6" t="s">
        <v>73</v>
      </c>
      <c r="I108" s="4" t="s">
        <v>536</v>
      </c>
      <c r="J108" s="13" t="s">
        <v>59</v>
      </c>
      <c r="K108" s="13"/>
    </row>
    <row r="109" customFormat="false" ht="16.4" hidden="false" customHeight="false" outlineLevel="0" collapsed="false">
      <c r="A109" s="6" t="s">
        <v>544</v>
      </c>
      <c r="B109" s="4" t="s">
        <v>43</v>
      </c>
      <c r="C109" s="4" t="s">
        <v>532</v>
      </c>
      <c r="D109" s="11" t="s">
        <v>545</v>
      </c>
      <c r="E109" s="4" t="s">
        <v>546</v>
      </c>
      <c r="F109" s="4" t="s">
        <v>547</v>
      </c>
      <c r="G109" s="15" t="s">
        <v>28</v>
      </c>
      <c r="H109" s="6" t="s">
        <v>73</v>
      </c>
      <c r="I109" s="4" t="s">
        <v>548</v>
      </c>
      <c r="J109" s="13" t="s">
        <v>59</v>
      </c>
      <c r="K109" s="13"/>
    </row>
    <row r="110" customFormat="false" ht="16.4" hidden="false" customHeight="false" outlineLevel="0" collapsed="false">
      <c r="A110" s="6" t="s">
        <v>549</v>
      </c>
      <c r="B110" s="4" t="s">
        <v>44</v>
      </c>
      <c r="C110" s="4" t="s">
        <v>550</v>
      </c>
      <c r="D110" s="11" t="s">
        <v>551</v>
      </c>
      <c r="E110" s="4" t="s">
        <v>552</v>
      </c>
      <c r="F110" s="4" t="s">
        <v>553</v>
      </c>
      <c r="G110" s="15" t="s">
        <v>28</v>
      </c>
      <c r="H110" s="6" t="s">
        <v>73</v>
      </c>
      <c r="I110" s="4" t="s">
        <v>171</v>
      </c>
      <c r="J110" s="13" t="s">
        <v>59</v>
      </c>
      <c r="K110" s="13"/>
    </row>
    <row r="111" customFormat="false" ht="16.4" hidden="false" customHeight="false" outlineLevel="0" collapsed="false">
      <c r="A111" s="6" t="s">
        <v>554</v>
      </c>
      <c r="B111" s="4" t="s">
        <v>44</v>
      </c>
      <c r="C111" s="4" t="s">
        <v>550</v>
      </c>
      <c r="D111" s="11" t="s">
        <v>555</v>
      </c>
      <c r="E111" s="4" t="s">
        <v>556</v>
      </c>
      <c r="F111" s="4" t="s">
        <v>557</v>
      </c>
      <c r="G111" s="15" t="s">
        <v>28</v>
      </c>
      <c r="H111" s="6" t="s">
        <v>73</v>
      </c>
      <c r="I111" s="4" t="s">
        <v>549</v>
      </c>
      <c r="J111" s="13" t="s">
        <v>59</v>
      </c>
      <c r="K111" s="13"/>
    </row>
    <row r="112" customFormat="false" ht="16.4" hidden="false" customHeight="false" outlineLevel="0" collapsed="false">
      <c r="A112" s="6" t="s">
        <v>558</v>
      </c>
      <c r="B112" s="4" t="s">
        <v>44</v>
      </c>
      <c r="C112" s="4" t="s">
        <v>550</v>
      </c>
      <c r="D112" s="11" t="s">
        <v>559</v>
      </c>
      <c r="E112" s="4" t="s">
        <v>560</v>
      </c>
      <c r="F112" s="4" t="s">
        <v>561</v>
      </c>
      <c r="G112" s="15" t="s">
        <v>28</v>
      </c>
      <c r="H112" s="6" t="s">
        <v>73</v>
      </c>
      <c r="I112" s="4" t="s">
        <v>562</v>
      </c>
      <c r="J112" s="13" t="s">
        <v>59</v>
      </c>
      <c r="K112" s="13"/>
    </row>
    <row r="113" customFormat="false" ht="16.4" hidden="false" customHeight="false" outlineLevel="0" collapsed="false">
      <c r="A113" s="6" t="s">
        <v>563</v>
      </c>
      <c r="B113" s="4" t="s">
        <v>44</v>
      </c>
      <c r="C113" s="4" t="s">
        <v>186</v>
      </c>
      <c r="D113" s="11" t="s">
        <v>564</v>
      </c>
      <c r="E113" s="4" t="s">
        <v>565</v>
      </c>
      <c r="F113" s="4" t="s">
        <v>566</v>
      </c>
      <c r="G113" s="15" t="s">
        <v>28</v>
      </c>
      <c r="H113" s="6" t="s">
        <v>73</v>
      </c>
      <c r="I113" s="4" t="s">
        <v>185</v>
      </c>
      <c r="J113" s="13" t="s">
        <v>59</v>
      </c>
      <c r="K113" s="13"/>
    </row>
    <row r="114" customFormat="false" ht="16.4" hidden="false" customHeight="false" outlineLevel="0" collapsed="false">
      <c r="A114" s="6" t="s">
        <v>567</v>
      </c>
      <c r="B114" s="4" t="s">
        <v>45</v>
      </c>
      <c r="C114" s="4" t="s">
        <v>568</v>
      </c>
      <c r="D114" s="11" t="s">
        <v>569</v>
      </c>
      <c r="E114" s="4" t="s">
        <v>570</v>
      </c>
      <c r="F114" s="4" t="s">
        <v>571</v>
      </c>
      <c r="G114" s="15" t="s">
        <v>28</v>
      </c>
      <c r="H114" s="6" t="s">
        <v>73</v>
      </c>
      <c r="I114" s="4" t="s">
        <v>440</v>
      </c>
      <c r="J114" s="13" t="s">
        <v>59</v>
      </c>
      <c r="K114" s="13"/>
    </row>
    <row r="115" customFormat="false" ht="16.4" hidden="false" customHeight="false" outlineLevel="0" collapsed="false">
      <c r="A115" s="6" t="s">
        <v>572</v>
      </c>
      <c r="B115" s="4" t="s">
        <v>45</v>
      </c>
      <c r="C115" s="4" t="s">
        <v>568</v>
      </c>
      <c r="D115" s="11" t="s">
        <v>573</v>
      </c>
      <c r="E115" s="4" t="s">
        <v>574</v>
      </c>
      <c r="F115" s="4" t="s">
        <v>575</v>
      </c>
      <c r="G115" s="15" t="s">
        <v>28</v>
      </c>
      <c r="H115" s="6" t="s">
        <v>73</v>
      </c>
      <c r="I115" s="4" t="s">
        <v>567</v>
      </c>
      <c r="J115" s="13" t="s">
        <v>59</v>
      </c>
      <c r="K115" s="13"/>
    </row>
    <row r="116" customFormat="false" ht="16.4" hidden="false" customHeight="false" outlineLevel="0" collapsed="false">
      <c r="A116" s="6" t="s">
        <v>576</v>
      </c>
      <c r="B116" s="4" t="s">
        <v>45</v>
      </c>
      <c r="C116" s="4" t="s">
        <v>568</v>
      </c>
      <c r="D116" s="11" t="s">
        <v>577</v>
      </c>
      <c r="E116" s="4" t="s">
        <v>578</v>
      </c>
      <c r="F116" s="4" t="s">
        <v>579</v>
      </c>
      <c r="G116" s="15" t="s">
        <v>28</v>
      </c>
      <c r="H116" s="6" t="s">
        <v>73</v>
      </c>
      <c r="I116" s="4" t="s">
        <v>567</v>
      </c>
      <c r="J116" s="13" t="s">
        <v>59</v>
      </c>
      <c r="K116" s="13"/>
    </row>
    <row r="117" customFormat="false" ht="16.4" hidden="false" customHeight="false" outlineLevel="0" collapsed="false">
      <c r="A117" s="6" t="s">
        <v>580</v>
      </c>
      <c r="B117" s="4" t="s">
        <v>45</v>
      </c>
      <c r="C117" s="4" t="s">
        <v>568</v>
      </c>
      <c r="D117" s="11" t="s">
        <v>581</v>
      </c>
      <c r="E117" s="4" t="s">
        <v>582</v>
      </c>
      <c r="F117" s="4" t="s">
        <v>583</v>
      </c>
      <c r="G117" s="15" t="s">
        <v>28</v>
      </c>
      <c r="H117" s="6" t="s">
        <v>73</v>
      </c>
      <c r="I117" s="4" t="s">
        <v>576</v>
      </c>
      <c r="J117" s="13" t="s">
        <v>59</v>
      </c>
      <c r="K117" s="13"/>
    </row>
    <row r="118" customFormat="false" ht="16.4" hidden="false" customHeight="false" outlineLevel="0" collapsed="false">
      <c r="A118" s="6" t="s">
        <v>584</v>
      </c>
      <c r="B118" s="4" t="s">
        <v>45</v>
      </c>
      <c r="C118" s="4" t="s">
        <v>568</v>
      </c>
      <c r="D118" s="11" t="s">
        <v>585</v>
      </c>
      <c r="E118" s="4" t="s">
        <v>586</v>
      </c>
      <c r="F118" s="4" t="s">
        <v>587</v>
      </c>
      <c r="G118" s="15" t="s">
        <v>28</v>
      </c>
      <c r="H118" s="6" t="s">
        <v>73</v>
      </c>
      <c r="I118" s="4" t="s">
        <v>127</v>
      </c>
      <c r="J118" s="13" t="s">
        <v>59</v>
      </c>
      <c r="K118" s="13"/>
    </row>
    <row r="119" customFormat="false" ht="16.4" hidden="false" customHeight="false" outlineLevel="0" collapsed="false">
      <c r="A119" s="6" t="s">
        <v>588</v>
      </c>
      <c r="B119" s="4" t="s">
        <v>45</v>
      </c>
      <c r="C119" s="4" t="s">
        <v>568</v>
      </c>
      <c r="D119" s="11" t="s">
        <v>589</v>
      </c>
      <c r="E119" s="4" t="s">
        <v>590</v>
      </c>
      <c r="F119" s="4" t="s">
        <v>591</v>
      </c>
      <c r="G119" s="15" t="s">
        <v>28</v>
      </c>
      <c r="H119" s="6" t="s">
        <v>73</v>
      </c>
      <c r="I119" s="4" t="s">
        <v>208</v>
      </c>
      <c r="J119" s="13" t="s">
        <v>59</v>
      </c>
      <c r="K119" s="13"/>
    </row>
    <row r="120" customFormat="false" ht="31.3" hidden="false" customHeight="false" outlineLevel="0" collapsed="false">
      <c r="A120" s="6" t="s">
        <v>592</v>
      </c>
      <c r="B120" s="4" t="s">
        <v>46</v>
      </c>
      <c r="C120" s="4" t="s">
        <v>593</v>
      </c>
      <c r="D120" s="11" t="s">
        <v>594</v>
      </c>
      <c r="E120" s="4" t="s">
        <v>595</v>
      </c>
      <c r="F120" s="4" t="s">
        <v>596</v>
      </c>
      <c r="G120" s="12" t="s">
        <v>26</v>
      </c>
      <c r="H120" s="6" t="s">
        <v>597</v>
      </c>
      <c r="I120" s="4" t="s">
        <v>598</v>
      </c>
      <c r="J120" s="13" t="s">
        <v>59</v>
      </c>
      <c r="K120" s="13"/>
    </row>
    <row r="121" customFormat="false" ht="16.4" hidden="false" customHeight="false" outlineLevel="0" collapsed="false">
      <c r="A121" s="6" t="s">
        <v>599</v>
      </c>
      <c r="B121" s="4" t="s">
        <v>46</v>
      </c>
      <c r="C121" s="4" t="s">
        <v>593</v>
      </c>
      <c r="D121" s="11" t="s">
        <v>600</v>
      </c>
      <c r="E121" s="4" t="s">
        <v>601</v>
      </c>
      <c r="F121" s="4" t="s">
        <v>602</v>
      </c>
      <c r="G121" s="12" t="s">
        <v>26</v>
      </c>
      <c r="H121" s="6" t="s">
        <v>597</v>
      </c>
      <c r="I121" s="4" t="s">
        <v>592</v>
      </c>
      <c r="J121" s="13" t="s">
        <v>59</v>
      </c>
      <c r="K121" s="13"/>
    </row>
    <row r="122" customFormat="false" ht="16.4" hidden="false" customHeight="false" outlineLevel="0" collapsed="false">
      <c r="A122" s="6" t="s">
        <v>526</v>
      </c>
      <c r="B122" s="4" t="s">
        <v>46</v>
      </c>
      <c r="C122" s="4" t="s">
        <v>522</v>
      </c>
      <c r="D122" s="11" t="s">
        <v>603</v>
      </c>
      <c r="E122" s="4" t="s">
        <v>604</v>
      </c>
      <c r="F122" s="4" t="s">
        <v>605</v>
      </c>
      <c r="G122" s="12" t="s">
        <v>26</v>
      </c>
      <c r="H122" s="6" t="s">
        <v>597</v>
      </c>
      <c r="I122" s="4"/>
      <c r="J122" s="13" t="s">
        <v>59</v>
      </c>
      <c r="K122" s="13"/>
    </row>
    <row r="123" customFormat="false" ht="31.3" hidden="false" customHeight="false" outlineLevel="0" collapsed="false">
      <c r="A123" s="6" t="s">
        <v>606</v>
      </c>
      <c r="B123" s="4" t="s">
        <v>46</v>
      </c>
      <c r="C123" s="4" t="s">
        <v>522</v>
      </c>
      <c r="D123" s="11" t="s">
        <v>607</v>
      </c>
      <c r="E123" s="4" t="s">
        <v>608</v>
      </c>
      <c r="F123" s="4" t="s">
        <v>609</v>
      </c>
      <c r="G123" s="12" t="s">
        <v>26</v>
      </c>
      <c r="H123" s="6" t="s">
        <v>597</v>
      </c>
      <c r="I123" s="4" t="s">
        <v>610</v>
      </c>
      <c r="J123" s="13" t="s">
        <v>59</v>
      </c>
      <c r="K123" s="13"/>
    </row>
    <row r="124" customFormat="false" ht="16.4" hidden="false" customHeight="false" outlineLevel="0" collapsed="false">
      <c r="A124" s="6" t="s">
        <v>611</v>
      </c>
      <c r="B124" s="4" t="s">
        <v>46</v>
      </c>
      <c r="C124" s="4" t="s">
        <v>612</v>
      </c>
      <c r="D124" s="11" t="s">
        <v>613</v>
      </c>
      <c r="E124" s="4" t="s">
        <v>614</v>
      </c>
      <c r="F124" s="4" t="s">
        <v>615</v>
      </c>
      <c r="G124" s="12" t="s">
        <v>26</v>
      </c>
      <c r="H124" s="6" t="s">
        <v>597</v>
      </c>
      <c r="I124" s="4" t="s">
        <v>592</v>
      </c>
      <c r="J124" s="13" t="s">
        <v>59</v>
      </c>
      <c r="K124" s="13"/>
    </row>
    <row r="125" customFormat="false" ht="16.4" hidden="false" customHeight="false" outlineLevel="0" collapsed="false">
      <c r="A125" s="6" t="s">
        <v>616</v>
      </c>
      <c r="B125" s="4" t="s">
        <v>46</v>
      </c>
      <c r="C125" s="4" t="s">
        <v>612</v>
      </c>
      <c r="D125" s="11" t="s">
        <v>617</v>
      </c>
      <c r="E125" s="4" t="s">
        <v>618</v>
      </c>
      <c r="F125" s="4" t="s">
        <v>619</v>
      </c>
      <c r="G125" s="14" t="s">
        <v>27</v>
      </c>
      <c r="H125" s="6" t="s">
        <v>73</v>
      </c>
      <c r="I125" s="4" t="s">
        <v>611</v>
      </c>
      <c r="J125" s="13" t="s">
        <v>59</v>
      </c>
      <c r="K125" s="13"/>
    </row>
    <row r="126" customFormat="false" ht="31.3" hidden="false" customHeight="false" outlineLevel="0" collapsed="false">
      <c r="A126" s="6" t="s">
        <v>620</v>
      </c>
      <c r="B126" s="4" t="s">
        <v>46</v>
      </c>
      <c r="C126" s="4" t="s">
        <v>612</v>
      </c>
      <c r="D126" s="11" t="s">
        <v>621</v>
      </c>
      <c r="E126" s="4" t="s">
        <v>622</v>
      </c>
      <c r="F126" s="4" t="s">
        <v>623</v>
      </c>
      <c r="G126" s="12" t="s">
        <v>26</v>
      </c>
      <c r="H126" s="6" t="s">
        <v>164</v>
      </c>
      <c r="I126" s="4" t="s">
        <v>160</v>
      </c>
      <c r="J126" s="13" t="s">
        <v>59</v>
      </c>
      <c r="K126" s="13"/>
    </row>
    <row r="127" customFormat="false" ht="16.4" hidden="false" customHeight="false" outlineLevel="0" collapsed="false">
      <c r="A127" s="6" t="s">
        <v>624</v>
      </c>
      <c r="B127" s="4" t="s">
        <v>46</v>
      </c>
      <c r="C127" s="4" t="s">
        <v>612</v>
      </c>
      <c r="D127" s="11" t="s">
        <v>625</v>
      </c>
      <c r="E127" s="4" t="s">
        <v>626</v>
      </c>
      <c r="F127" s="4" t="s">
        <v>627</v>
      </c>
      <c r="G127" s="14" t="s">
        <v>27</v>
      </c>
      <c r="H127" s="6" t="s">
        <v>73</v>
      </c>
      <c r="I127" s="4" t="s">
        <v>628</v>
      </c>
      <c r="J127" s="13" t="s">
        <v>59</v>
      </c>
      <c r="K127" s="13"/>
    </row>
    <row r="128" customFormat="false" ht="16.4" hidden="false" customHeight="false" outlineLevel="0" collapsed="false">
      <c r="A128" s="6" t="s">
        <v>629</v>
      </c>
      <c r="B128" s="4" t="s">
        <v>46</v>
      </c>
      <c r="C128" s="4" t="s">
        <v>630</v>
      </c>
      <c r="D128" s="11" t="s">
        <v>631</v>
      </c>
      <c r="E128" s="4" t="s">
        <v>632</v>
      </c>
      <c r="F128" s="4" t="s">
        <v>633</v>
      </c>
      <c r="G128" s="12" t="s">
        <v>26</v>
      </c>
      <c r="H128" s="6" t="s">
        <v>634</v>
      </c>
      <c r="I128" s="4"/>
      <c r="J128" s="13" t="s">
        <v>59</v>
      </c>
      <c r="K128" s="13"/>
    </row>
    <row r="129" customFormat="false" ht="16.4" hidden="false" customHeight="false" outlineLevel="0" collapsed="false">
      <c r="A129" s="6" t="s">
        <v>635</v>
      </c>
      <c r="B129" s="4" t="s">
        <v>46</v>
      </c>
      <c r="C129" s="4" t="s">
        <v>630</v>
      </c>
      <c r="D129" s="11" t="s">
        <v>636</v>
      </c>
      <c r="E129" s="4" t="s">
        <v>637</v>
      </c>
      <c r="F129" s="4" t="s">
        <v>638</v>
      </c>
      <c r="G129" s="12" t="s">
        <v>26</v>
      </c>
      <c r="H129" s="6" t="s">
        <v>634</v>
      </c>
      <c r="I129" s="4" t="s">
        <v>629</v>
      </c>
      <c r="J129" s="13" t="s">
        <v>59</v>
      </c>
      <c r="K129" s="13"/>
    </row>
  </sheetData>
  <autoFilter ref="A1:K129"/>
  <conditionalFormatting sqref="J2:J129">
    <cfRule type="expression" priority="2" aboveAverage="0" equalAverage="0" bottom="0" percent="0" rank="0" text="" dxfId="11">
      <formula>$J2="پذیرفته‌شده"</formula>
    </cfRule>
    <cfRule type="expression" priority="3" aboveAverage="0" equalAverage="0" bottom="0" percent="0" rank="0" text="" dxfId="12">
      <formula>$J2="در حال انجام"</formula>
    </cfRule>
  </conditionalFormatting>
  <dataValidations count="1">
    <dataValidation allowBlank="false" errorStyle="stop" operator="between" showDropDown="false" showErrorMessage="false" showInputMessage="false" sqref="J2:J129" type="list">
      <formula1>"برنامه‌ریزی‌شده,در حال انجام,بازبینی,پذیرفته‌شده,لغو"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2026-09-19T07:50:31Z</dcterms:created>
  <dc:creator>openpyxl</dc:creator>
  <dc:description/>
  <dc:language>en-US</dc:language>
  <cp:lastModifiedBy/>
  <dcterms:modified xsi:type="dcterms:W3CDTF">2026-09-19T07:50:31Z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